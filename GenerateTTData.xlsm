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F:\Source\Personal\sdw_droid\"/>
    </mc:Choice>
  </mc:AlternateContent>
  <bookViews>
    <workbookView xWindow="240" yWindow="105" windowWidth="9615" windowHeight="4260" firstSheet="1" activeTab="5"/>
  </bookViews>
  <sheets>
    <sheet name="event" sheetId="1" r:id="rId1"/>
    <sheet name="series" sheetId="7" r:id="rId2"/>
    <sheet name="course" sheetId="8" r:id="rId3"/>
    <sheet name="user" sheetId="3" r:id="rId4"/>
    <sheet name="official" sheetId="6" r:id="rId5"/>
    <sheet name="entry" sheetId="2" r:id="rId6"/>
    <sheet name="xcourse_times" sheetId="5" r:id="rId7"/>
    <sheet name="xhandicaps" sheetId="4" r:id="rId8"/>
    <sheet name="xstatic" sheetId="9" r:id="rId9"/>
  </sheets>
  <functionGroups builtInGroupCount="18"/>
  <definedNames>
    <definedName name="courses">xcourse_times!$A$2:$D$12</definedName>
    <definedName name="events">event!$A$2:$D$79</definedName>
    <definedName name="export_folder">xstatic!$B$1</definedName>
    <definedName name="handicaps">xhandicaps!$A$2:$A$11</definedName>
    <definedName name="users">user!$A$2:$E$38</definedName>
  </definedNames>
  <calcPr calcId="171027"/>
</workbook>
</file>

<file path=xl/calcChain.xml><?xml version="1.0" encoding="utf-8"?>
<calcChain xmlns="http://schemas.openxmlformats.org/spreadsheetml/2006/main">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3" i="1"/>
  <c r="D12" i="5" l="1"/>
  <c r="D11" i="5"/>
  <c r="D10" i="5"/>
  <c r="D9" i="5"/>
  <c r="D8" i="5"/>
  <c r="D7" i="5"/>
  <c r="D6" i="5"/>
  <c r="D5" i="5"/>
  <c r="D4" i="5"/>
  <c r="D3" i="5"/>
  <c r="D2" i="5"/>
</calcChain>
</file>

<file path=xl/sharedStrings.xml><?xml version="1.0" encoding="utf-8"?>
<sst xmlns="http://schemas.openxmlformats.org/spreadsheetml/2006/main" count="3073" uniqueCount="194">
  <si>
    <t>id</t>
  </si>
  <si>
    <t>username</t>
  </si>
  <si>
    <t>firstname</t>
  </si>
  <si>
    <t>lastname</t>
  </si>
  <si>
    <t>Paul Greer</t>
  </si>
  <si>
    <t>Paul</t>
  </si>
  <si>
    <t>Greer</t>
  </si>
  <si>
    <t>David Pettitt</t>
  </si>
  <si>
    <t xml:space="preserve">David </t>
  </si>
  <si>
    <t>Pettitt</t>
  </si>
  <si>
    <t>Matt Kuwertz</t>
  </si>
  <si>
    <t>Matt</t>
  </si>
  <si>
    <t>Kuwertz</t>
  </si>
  <si>
    <t>Ryan Kuwertz</t>
  </si>
  <si>
    <t xml:space="preserve">Ryan </t>
  </si>
  <si>
    <t>Ian Hodge</t>
  </si>
  <si>
    <t xml:space="preserve">Ian </t>
  </si>
  <si>
    <t>Hodge</t>
  </si>
  <si>
    <t>Neil Couchman</t>
  </si>
  <si>
    <t>Neil</t>
  </si>
  <si>
    <t>Couchman</t>
  </si>
  <si>
    <t>Keith Henderson</t>
  </si>
  <si>
    <t>Keith</t>
  </si>
  <si>
    <t>Henderson</t>
  </si>
  <si>
    <t>Gary Sinclair</t>
  </si>
  <si>
    <t>Gary</t>
  </si>
  <si>
    <t>Sinclair</t>
  </si>
  <si>
    <t>Scott Sargeant</t>
  </si>
  <si>
    <t xml:space="preserve">Scott </t>
  </si>
  <si>
    <t>Sargeant</t>
  </si>
  <si>
    <t>Rory Barrett</t>
  </si>
  <si>
    <t xml:space="preserve">Rory </t>
  </si>
  <si>
    <t>Barret</t>
  </si>
  <si>
    <t>Mike Saadat</t>
  </si>
  <si>
    <t xml:space="preserve">Mike </t>
  </si>
  <si>
    <t>Sadaat</t>
  </si>
  <si>
    <t>Ian Turner</t>
  </si>
  <si>
    <t>Turner</t>
  </si>
  <si>
    <t>Pip Jenkins</t>
  </si>
  <si>
    <t>Pip</t>
  </si>
  <si>
    <t>Jenkins</t>
  </si>
  <si>
    <t>Paul Hiscock</t>
  </si>
  <si>
    <t>Hiscock</t>
  </si>
  <si>
    <t>Tim Christian</t>
  </si>
  <si>
    <t>Tim</t>
  </si>
  <si>
    <t>Christian</t>
  </si>
  <si>
    <t>Charles Dennison</t>
  </si>
  <si>
    <t>Charles</t>
  </si>
  <si>
    <t>Dennison</t>
  </si>
  <si>
    <t>Nigel Smith</t>
  </si>
  <si>
    <t xml:space="preserve">Nigel </t>
  </si>
  <si>
    <t>Smith</t>
  </si>
  <si>
    <t>Martin Yardley</t>
  </si>
  <si>
    <t xml:space="preserve">Martin </t>
  </si>
  <si>
    <t>Yardley</t>
  </si>
  <si>
    <t>Rob Stephenson</t>
  </si>
  <si>
    <t>Rob</t>
  </si>
  <si>
    <t>Stephenson</t>
  </si>
  <si>
    <t>Chris Wolton</t>
  </si>
  <si>
    <t xml:space="preserve">Chris </t>
  </si>
  <si>
    <t>Wolton</t>
  </si>
  <si>
    <t>Andy Morley</t>
  </si>
  <si>
    <t xml:space="preserve">Andy </t>
  </si>
  <si>
    <t>Morley</t>
  </si>
  <si>
    <t>Andrew Booty</t>
  </si>
  <si>
    <t>Callum Clark</t>
  </si>
  <si>
    <t>Julia Hawksworth</t>
  </si>
  <si>
    <t>Colin Jarman</t>
  </si>
  <si>
    <t>Dan Simms</t>
  </si>
  <si>
    <t>Alexis Couchman</t>
  </si>
  <si>
    <t>David Rumm</t>
  </si>
  <si>
    <t>Dave Stocker</t>
  </si>
  <si>
    <t>Jeremy Woodruff</t>
  </si>
  <si>
    <t>Martin Dernham</t>
  </si>
  <si>
    <t>Peter Faro</t>
  </si>
  <si>
    <t>Andrew</t>
  </si>
  <si>
    <t>Callum</t>
  </si>
  <si>
    <t>Julia</t>
  </si>
  <si>
    <t>Colin</t>
  </si>
  <si>
    <t>Dan</t>
  </si>
  <si>
    <t>Alexis</t>
  </si>
  <si>
    <t>Dave</t>
  </si>
  <si>
    <t>Jeremy</t>
  </si>
  <si>
    <t>Peter</t>
  </si>
  <si>
    <t>Booty</t>
  </si>
  <si>
    <t>Clark</t>
  </si>
  <si>
    <t>Hawksworth</t>
  </si>
  <si>
    <t>Jarman</t>
  </si>
  <si>
    <t>Simms</t>
  </si>
  <si>
    <t>Rumm</t>
  </si>
  <si>
    <t>Stocker</t>
  </si>
  <si>
    <t>Woodruff</t>
  </si>
  <si>
    <t>Dernham</t>
  </si>
  <si>
    <t>Faro</t>
  </si>
  <si>
    <t>eventid</t>
  </si>
  <si>
    <t>userid</t>
  </si>
  <si>
    <t>name</t>
  </si>
  <si>
    <t>Sleeches Cross/Mayfield</t>
  </si>
  <si>
    <t>Ladies Mile</t>
  </si>
  <si>
    <t>Sleeches Cross/Mark Cross/Wadhurst</t>
  </si>
  <si>
    <t>Ashdown Forest</t>
  </si>
  <si>
    <t>Hartfield/Wych Cross/Groombridge</t>
  </si>
  <si>
    <t>Polhill</t>
  </si>
  <si>
    <t>Tonbridge Bypass</t>
  </si>
  <si>
    <t>East Peckham</t>
  </si>
  <si>
    <t>Winchet Hill</t>
  </si>
  <si>
    <t>Leigh Loop TT (Boxing Day TT course)</t>
  </si>
  <si>
    <t>Kidds Hill</t>
  </si>
  <si>
    <t>best</t>
  </si>
  <si>
    <t>best_secs</t>
  </si>
  <si>
    <t>capacity</t>
  </si>
  <si>
    <t>CM</t>
  </si>
  <si>
    <t>M</t>
  </si>
  <si>
    <t>TM</t>
  </si>
  <si>
    <t>T</t>
  </si>
  <si>
    <t>Peter Watson</t>
  </si>
  <si>
    <t xml:space="preserve">Peter </t>
  </si>
  <si>
    <t>Watson</t>
  </si>
  <si>
    <t>Jo Watson</t>
  </si>
  <si>
    <t>Jo</t>
  </si>
  <si>
    <t>Doug Finch</t>
  </si>
  <si>
    <t>Doug</t>
  </si>
  <si>
    <t>Finch</t>
  </si>
  <si>
    <t>David Watson</t>
  </si>
  <si>
    <t>Laura Finch</t>
  </si>
  <si>
    <t>Laura</t>
  </si>
  <si>
    <t>eventdate</t>
  </si>
  <si>
    <t>courseid</t>
  </si>
  <si>
    <t>seriesid</t>
  </si>
  <si>
    <t>mins</t>
  </si>
  <si>
    <t>seriesstart</t>
  </si>
  <si>
    <t>seriesend</t>
  </si>
  <si>
    <t>season</t>
  </si>
  <si>
    <t>2013 Club TT Series</t>
  </si>
  <si>
    <t>2014 Club TT Series</t>
  </si>
  <si>
    <t>2015 Club TT Series</t>
  </si>
  <si>
    <t>2016 Club TT Series</t>
  </si>
  <si>
    <t>Q10/19</t>
  </si>
  <si>
    <t>Start opposite the 'Boot Sale' field, down the slip road onto Northbound A21 dual carriageway to Sevenoaks (A225) exit, around roundabout and return South down slip road onto A21 to finish before Tonbridge/Tunbridge Wells exit.Cycling Time Trials (CTT) has (...)</t>
  </si>
  <si>
    <t>../images/3415170.png</t>
  </si>
  <si>
    <t xml:space="preserve">Popular course with a out to roundabout and back format, undulating terain making it relatively slow. best times around 25mins for 9.8 miles </t>
  </si>
  <si>
    <t>Q10/29</t>
  </si>
  <si>
    <t>Start by entrance to Whetsted Farm just North of Whetsted Rd on A228. Northbound to U-turn at B2015 roundabout, then South to U-turn at Hop Farm roundabout, return Northbound to second U-turn at B2015 roundabout before finally heading Southbound to finish  (...)</t>
  </si>
  <si>
    <t>../images/3415198.png</t>
  </si>
  <si>
    <t>Q10/41</t>
  </si>
  <si>
    <t>../images/8414366.png</t>
  </si>
  <si>
    <t>GS878</t>
  </si>
  <si>
    <t>Start on A267 by junction with B2099 to Wadhurst. Ride Southbound on A267 to U-turn at Mayfield roundabout, returning Northbound to finish opposite layby midway between Mark Cross and Frant</t>
  </si>
  <si>
    <t>../images/3415207.png</t>
  </si>
  <si>
    <t>GH81</t>
  </si>
  <si>
    <t>../images/3415418.png</t>
  </si>
  <si>
    <t>GS868</t>
  </si>
  <si>
    <t>http://ridewithgps.com/routes/3415163</t>
  </si>
  <si>
    <t>Three laps of this circuit - start by junction of B2110 and B2188 South of Groombridge. Head Westbound on B2110 taking sharp left turn onto Ladies Mile, then at junction with B2188 turn left and return Northbound to start location at left turn onto B2110.  (...)</t>
  </si>
  <si>
    <t>../images/3415163.png</t>
  </si>
  <si>
    <t>GS879</t>
  </si>
  <si>
    <t>http://ridewithgps.com/routes/3415246</t>
  </si>
  <si>
    <t>Start on A267 by junction with B2099 to Wadhurst. Ride Southbound on A267 to Mark Cross, taking first left turn onto B2100 to Wadhurst. At T-junction in Wadhurst, turn left onto B2099 down past Wadhurst railway station and back up the climb to the A267 sta (...)</t>
  </si>
  <si>
    <t>../images/3415246.png</t>
  </si>
  <si>
    <t>GS898</t>
  </si>
  <si>
    <t>http://ridewithgps.com/routes/3415220</t>
  </si>
  <si>
    <t>Start on B2026 at Southern end of Hartfield. Head South up Jib Jacks Hill and Chuck Hatch to sharp left turn onto B2188 by King's Standing car park. Head Northbound on B2188 down long undulating descent, under railway bridge and up short climb to junction  (...)</t>
  </si>
  <si>
    <t>../images/3415220.png</t>
  </si>
  <si>
    <t>GS899</t>
  </si>
  <si>
    <t>Start on B2110 at Southern end of Hartfield. Head South West on B2110 for 1.8 miles turning left into Coach Road, then continue onto Colemans Hatch Road up long climb to traffic lights at junction with A22 by Wych Cross Garden Centre. Turn left onto A22 (a (...)</t>
  </si>
  <si>
    <t>../images/3415341.png</t>
  </si>
  <si>
    <t>Q10/18</t>
  </si>
  <si>
    <t>Start on A224 just after left junction with Otford Lane. Ride North to roundabout, taking 3rd exit to continue North on A224 to major roundabout and junction with A21. Take 2nd exit to ride West on A21 dual carriageway then take sharp left turn into London (...)</t>
  </si>
  <si>
    <t>../images/3415400.png</t>
  </si>
  <si>
    <t>http://ridewithgps.com/routes/3783059</t>
  </si>
  <si>
    <t>Time trial course of 4.2 miles used for the annual Southborough Boxing Day TT (2 laps). If you'd like to work off some Christmas turkey or make room for more festive food and drink the Leigh Loop TT on Boxing Day is just for you. The course start is in Pow (...)</t>
  </si>
  <si>
    <t>../images/3783059.png</t>
  </si>
  <si>
    <t>coursecode</t>
  </si>
  <si>
    <t>coursemapurl</t>
  </si>
  <si>
    <t>coursenotes</t>
  </si>
  <si>
    <t>distance</t>
  </si>
  <si>
    <t>courseimgurl</t>
  </si>
  <si>
    <t>coursedesc</t>
  </si>
  <si>
    <t>export folder</t>
  </si>
  <si>
    <t>Web</t>
  </si>
  <si>
    <t>DNS</t>
  </si>
  <si>
    <t>FIN</t>
  </si>
  <si>
    <t>DNF</t>
  </si>
  <si>
    <t>signondate</t>
  </si>
  <si>
    <t>signonmethod</t>
  </si>
  <si>
    <t>handicap</t>
  </si>
  <si>
    <t>startno</t>
  </si>
  <si>
    <t>time</t>
  </si>
  <si>
    <t>status</t>
  </si>
  <si>
    <t>scrpts</t>
  </si>
  <si>
    <t>scrpos</t>
  </si>
  <si>
    <t>hcppts</t>
  </si>
  <si>
    <t>hcppos</t>
  </si>
  <si>
    <t>F:\Source\Personal\leaderboard_db\pgsql\data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</si>
</sst>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F400]h:mm:ss\ AM/PM"/>
  </numFmts>
  <fonts count="2" x14ac:knownFonts="1">
    <font>
      <sz val="11"/>
      <color theme="1"/>
      <name val="Calibri"/>
      <family val="2"/>
      <scheme val="minor"/>
    </font>
    <font>
      <sz val="11"/>
      <color rgb="FF006100"/>
      <name val="Calibri"/>
      <family val="2"/>
      <scheme val="minor"/>
    </font>
  </fonts>
  <fills count="3">
    <fill>
      <patternFill patternType="none"/>
    </fill>
    <fill>
      <patternFill patternType="gray125"/>
    </fill>
    <fill>
      <patternFill patternType="solid">
        <fgColor rgb="FFC6EFCE"/>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8">
    <xf numFmtId="0" fontId="0" fillId="0" borderId="0" xfId="0"/>
    <xf numFmtId="22" fontId="0" fillId="0" borderId="0" xfId="0" applyNumberFormat="1"/>
    <xf numFmtId="164" fontId="0" fillId="0" borderId="0" xfId="0" applyNumberFormat="1"/>
    <xf numFmtId="0" fontId="0" fillId="0" borderId="0" xfId="0" applyNumberFormat="1"/>
    <xf numFmtId="165" fontId="0" fillId="0" borderId="0" xfId="0" applyNumberFormat="1"/>
    <xf numFmtId="0" fontId="0" fillId="0" borderId="0" xfId="0" applyBorder="1"/>
    <xf numFmtId="0" fontId="1" fillId="2" borderId="0" xfId="1"/>
    <xf numFmtId="0" fontId="1" fillId="2" borderId="0" xfId="1" applyNumberFormat="1"/>
  </cellXfs>
  <cellStyles count="2">
    <cellStyle name="Good" xfId="1" builtinId="26"/>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79"/>
  <sheetViews>
    <sheetView topLeftCell="A117" workbookViewId="0">
      <selection activeCell="B122" sqref="B122"/>
    </sheetView>
  </sheetViews>
  <sheetFormatPr defaultRowHeight="15" x14ac:dyDescent="0.25"/>
  <cols>
    <col min="2" max="2" width="22.140625" style="1" customWidth="1"/>
    <col min="3" max="3" width="31" customWidth="1"/>
    <col min="6" max="6" width="21.5703125" customWidth="1"/>
  </cols>
  <sheetData>
    <row r="1" spans="1:4" x14ac:dyDescent="0.25">
      <c r="A1" t="s">
        <v>0</v>
      </c>
      <c r="B1" s="1" t="s">
        <v>126</v>
      </c>
      <c r="C1" t="s">
        <v>127</v>
      </c>
      <c r="D1" t="s">
        <v>128</v>
      </c>
    </row>
    <row r="2" spans="1:4" x14ac:dyDescent="0.25">
      <c r="A2">
        <v>1</v>
      </c>
      <c r="B2" s="1">
        <v>41714.375</v>
      </c>
      <c r="C2">
        <v>1</v>
      </c>
      <c r="D2">
        <v>2</v>
      </c>
    </row>
    <row r="3" spans="1:4" x14ac:dyDescent="0.25">
      <c r="A3">
        <f>A2+1</f>
        <v>2</v>
      </c>
      <c r="B3" s="1">
        <v>41721.354166666664</v>
      </c>
      <c r="C3">
        <v>2</v>
      </c>
      <c r="D3">
        <v>2</v>
      </c>
    </row>
    <row r="4" spans="1:4" x14ac:dyDescent="0.25">
      <c r="A4">
        <f t="shared" ref="A4:A67" si="0">A3+1</f>
        <v>3</v>
      </c>
      <c r="B4" s="1">
        <v>41746.770833333336</v>
      </c>
      <c r="C4">
        <v>3</v>
      </c>
      <c r="D4">
        <v>2</v>
      </c>
    </row>
    <row r="5" spans="1:4" x14ac:dyDescent="0.25">
      <c r="A5">
        <f t="shared" si="0"/>
        <v>4</v>
      </c>
      <c r="B5" s="1">
        <v>41753.78125</v>
      </c>
      <c r="C5">
        <v>2</v>
      </c>
      <c r="D5">
        <v>2</v>
      </c>
    </row>
    <row r="6" spans="1:4" x14ac:dyDescent="0.25">
      <c r="A6">
        <f t="shared" si="0"/>
        <v>5</v>
      </c>
      <c r="B6" s="1">
        <v>41760.791666666664</v>
      </c>
      <c r="C6">
        <v>1</v>
      </c>
      <c r="D6">
        <v>2</v>
      </c>
    </row>
    <row r="7" spans="1:4" x14ac:dyDescent="0.25">
      <c r="A7">
        <f t="shared" si="0"/>
        <v>6</v>
      </c>
      <c r="B7" s="1">
        <v>41767.791666666664</v>
      </c>
      <c r="C7">
        <v>4</v>
      </c>
      <c r="D7">
        <v>2</v>
      </c>
    </row>
    <row r="8" spans="1:4" x14ac:dyDescent="0.25">
      <c r="A8">
        <f t="shared" si="0"/>
        <v>7</v>
      </c>
      <c r="B8" s="1">
        <v>41774.791666666664</v>
      </c>
      <c r="C8">
        <v>1</v>
      </c>
      <c r="D8">
        <v>2</v>
      </c>
    </row>
    <row r="9" spans="1:4" x14ac:dyDescent="0.25">
      <c r="A9">
        <f t="shared" si="0"/>
        <v>8</v>
      </c>
      <c r="B9" s="1">
        <v>41781.791666666664</v>
      </c>
      <c r="C9">
        <v>2</v>
      </c>
      <c r="D9">
        <v>2</v>
      </c>
    </row>
    <row r="10" spans="1:4" x14ac:dyDescent="0.25">
      <c r="A10">
        <f t="shared" si="0"/>
        <v>9</v>
      </c>
      <c r="B10" s="1">
        <v>41788.791666666664</v>
      </c>
      <c r="C10">
        <v>5</v>
      </c>
      <c r="D10">
        <v>2</v>
      </c>
    </row>
    <row r="11" spans="1:4" x14ac:dyDescent="0.25">
      <c r="A11">
        <f t="shared" si="0"/>
        <v>10</v>
      </c>
      <c r="B11" s="1">
        <v>41793.8125</v>
      </c>
      <c r="C11">
        <v>8</v>
      </c>
      <c r="D11">
        <v>2</v>
      </c>
    </row>
    <row r="12" spans="1:4" x14ac:dyDescent="0.25">
      <c r="A12">
        <f t="shared" si="0"/>
        <v>11</v>
      </c>
      <c r="B12" s="1">
        <v>41800.8125</v>
      </c>
      <c r="C12">
        <v>6</v>
      </c>
      <c r="D12">
        <v>2</v>
      </c>
    </row>
    <row r="13" spans="1:4" x14ac:dyDescent="0.25">
      <c r="A13">
        <f t="shared" si="0"/>
        <v>12</v>
      </c>
      <c r="B13" s="1">
        <v>41807.8125</v>
      </c>
      <c r="C13">
        <v>8</v>
      </c>
      <c r="D13">
        <v>2</v>
      </c>
    </row>
    <row r="14" spans="1:4" x14ac:dyDescent="0.25">
      <c r="A14">
        <f t="shared" si="0"/>
        <v>13</v>
      </c>
      <c r="B14" s="1">
        <v>41816.791666666664</v>
      </c>
      <c r="C14">
        <v>2</v>
      </c>
      <c r="D14">
        <v>2</v>
      </c>
    </row>
    <row r="15" spans="1:4" x14ac:dyDescent="0.25">
      <c r="A15">
        <f t="shared" si="0"/>
        <v>14</v>
      </c>
      <c r="B15" s="1">
        <v>41821.791666666664</v>
      </c>
      <c r="C15">
        <v>8</v>
      </c>
      <c r="D15">
        <v>2</v>
      </c>
    </row>
    <row r="16" spans="1:4" x14ac:dyDescent="0.25">
      <c r="A16">
        <f t="shared" si="0"/>
        <v>15</v>
      </c>
      <c r="B16" s="1">
        <v>41828.8125</v>
      </c>
      <c r="C16">
        <v>6</v>
      </c>
      <c r="D16">
        <v>2</v>
      </c>
    </row>
    <row r="17" spans="1:4" x14ac:dyDescent="0.25">
      <c r="A17">
        <f t="shared" si="0"/>
        <v>16</v>
      </c>
      <c r="B17" s="1">
        <v>41832.291666666664</v>
      </c>
      <c r="C17">
        <v>8</v>
      </c>
      <c r="D17">
        <v>2</v>
      </c>
    </row>
    <row r="18" spans="1:4" x14ac:dyDescent="0.25">
      <c r="A18">
        <f t="shared" si="0"/>
        <v>17</v>
      </c>
      <c r="B18" s="1">
        <v>41837.791666666664</v>
      </c>
      <c r="C18">
        <v>1</v>
      </c>
      <c r="D18">
        <v>2</v>
      </c>
    </row>
    <row r="19" spans="1:4" x14ac:dyDescent="0.25">
      <c r="A19">
        <f t="shared" si="0"/>
        <v>18</v>
      </c>
      <c r="B19" s="1">
        <v>41844.791666666664</v>
      </c>
      <c r="C19">
        <v>2</v>
      </c>
      <c r="D19">
        <v>2</v>
      </c>
    </row>
    <row r="20" spans="1:4" x14ac:dyDescent="0.25">
      <c r="A20">
        <f t="shared" si="0"/>
        <v>19</v>
      </c>
      <c r="B20" s="1">
        <v>41851.791666666664</v>
      </c>
      <c r="C20">
        <v>4</v>
      </c>
      <c r="D20">
        <v>2</v>
      </c>
    </row>
    <row r="21" spans="1:4" x14ac:dyDescent="0.25">
      <c r="A21">
        <f t="shared" si="0"/>
        <v>20</v>
      </c>
      <c r="B21" s="1">
        <v>41858.791666666664</v>
      </c>
      <c r="C21">
        <v>3</v>
      </c>
      <c r="D21">
        <v>2</v>
      </c>
    </row>
    <row r="22" spans="1:4" x14ac:dyDescent="0.25">
      <c r="A22">
        <f t="shared" si="0"/>
        <v>21</v>
      </c>
      <c r="B22" s="1">
        <v>41865.791666666664</v>
      </c>
      <c r="C22">
        <v>2</v>
      </c>
      <c r="D22">
        <v>2</v>
      </c>
    </row>
    <row r="23" spans="1:4" x14ac:dyDescent="0.25">
      <c r="A23">
        <f t="shared" si="0"/>
        <v>22</v>
      </c>
      <c r="B23" s="1">
        <v>41888.291666666664</v>
      </c>
      <c r="C23">
        <v>8</v>
      </c>
      <c r="D23">
        <v>2</v>
      </c>
    </row>
    <row r="24" spans="1:4" x14ac:dyDescent="0.25">
      <c r="A24">
        <f t="shared" si="0"/>
        <v>23</v>
      </c>
      <c r="B24" s="1">
        <v>41895.291666666664</v>
      </c>
      <c r="C24">
        <v>7</v>
      </c>
      <c r="D24">
        <v>2</v>
      </c>
    </row>
    <row r="25" spans="1:4" x14ac:dyDescent="0.25">
      <c r="A25">
        <f t="shared" si="0"/>
        <v>24</v>
      </c>
      <c r="B25" s="1">
        <v>42267.291666666664</v>
      </c>
      <c r="C25">
        <v>7</v>
      </c>
      <c r="D25">
        <v>2</v>
      </c>
    </row>
    <row r="26" spans="1:4" x14ac:dyDescent="0.25">
      <c r="A26">
        <f t="shared" si="0"/>
        <v>25</v>
      </c>
      <c r="B26" s="1">
        <v>41910.416666666664</v>
      </c>
      <c r="C26">
        <v>11</v>
      </c>
      <c r="D26">
        <v>2</v>
      </c>
    </row>
    <row r="27" spans="1:4" x14ac:dyDescent="0.25">
      <c r="A27">
        <f t="shared" si="0"/>
        <v>26</v>
      </c>
      <c r="B27" s="1">
        <v>41999.416666666664</v>
      </c>
      <c r="C27">
        <v>10</v>
      </c>
      <c r="D27">
        <v>2</v>
      </c>
    </row>
    <row r="28" spans="1:4" x14ac:dyDescent="0.25">
      <c r="A28">
        <f t="shared" si="0"/>
        <v>27</v>
      </c>
      <c r="B28" s="1">
        <v>42078.375</v>
      </c>
      <c r="C28">
        <v>1</v>
      </c>
      <c r="D28">
        <v>3</v>
      </c>
    </row>
    <row r="29" spans="1:4" x14ac:dyDescent="0.25">
      <c r="A29">
        <f t="shared" si="0"/>
        <v>28</v>
      </c>
      <c r="B29" s="1">
        <v>42085.354166666664</v>
      </c>
      <c r="C29">
        <v>2</v>
      </c>
      <c r="D29">
        <v>3</v>
      </c>
    </row>
    <row r="30" spans="1:4" x14ac:dyDescent="0.25">
      <c r="A30">
        <f t="shared" si="0"/>
        <v>29</v>
      </c>
      <c r="B30" s="1">
        <v>42110.770833333336</v>
      </c>
      <c r="C30">
        <v>3</v>
      </c>
      <c r="D30">
        <v>3</v>
      </c>
    </row>
    <row r="31" spans="1:4" x14ac:dyDescent="0.25">
      <c r="A31">
        <f t="shared" si="0"/>
        <v>30</v>
      </c>
      <c r="B31" s="1">
        <v>42117.78125</v>
      </c>
      <c r="C31">
        <v>2</v>
      </c>
      <c r="D31">
        <v>3</v>
      </c>
    </row>
    <row r="32" spans="1:4" x14ac:dyDescent="0.25">
      <c r="A32">
        <f t="shared" si="0"/>
        <v>31</v>
      </c>
      <c r="B32" s="1">
        <v>42124.791666666664</v>
      </c>
      <c r="C32">
        <v>1</v>
      </c>
      <c r="D32">
        <v>3</v>
      </c>
    </row>
    <row r="33" spans="1:4" x14ac:dyDescent="0.25">
      <c r="A33">
        <f t="shared" si="0"/>
        <v>32</v>
      </c>
      <c r="B33" s="1">
        <v>42131.791666666664</v>
      </c>
      <c r="C33">
        <v>4</v>
      </c>
      <c r="D33">
        <v>3</v>
      </c>
    </row>
    <row r="34" spans="1:4" x14ac:dyDescent="0.25">
      <c r="A34">
        <f t="shared" si="0"/>
        <v>33</v>
      </c>
      <c r="B34" s="1">
        <v>42138.791666666664</v>
      </c>
      <c r="C34">
        <v>1</v>
      </c>
      <c r="D34">
        <v>3</v>
      </c>
    </row>
    <row r="35" spans="1:4" x14ac:dyDescent="0.25">
      <c r="A35">
        <f t="shared" si="0"/>
        <v>34</v>
      </c>
      <c r="B35" s="1">
        <v>42145.791666666664</v>
      </c>
      <c r="C35">
        <v>2</v>
      </c>
      <c r="D35">
        <v>3</v>
      </c>
    </row>
    <row r="36" spans="1:4" x14ac:dyDescent="0.25">
      <c r="A36">
        <f t="shared" si="0"/>
        <v>35</v>
      </c>
      <c r="B36" s="1">
        <v>42152.791666666664</v>
      </c>
      <c r="C36">
        <v>5</v>
      </c>
      <c r="D36">
        <v>3</v>
      </c>
    </row>
    <row r="37" spans="1:4" x14ac:dyDescent="0.25">
      <c r="A37">
        <f t="shared" si="0"/>
        <v>36</v>
      </c>
      <c r="B37" s="1">
        <v>42157.8125</v>
      </c>
      <c r="C37">
        <v>8</v>
      </c>
      <c r="D37">
        <v>3</v>
      </c>
    </row>
    <row r="38" spans="1:4" x14ac:dyDescent="0.25">
      <c r="A38">
        <f t="shared" si="0"/>
        <v>37</v>
      </c>
      <c r="B38" s="1">
        <v>42164.8125</v>
      </c>
      <c r="C38">
        <v>6</v>
      </c>
      <c r="D38">
        <v>3</v>
      </c>
    </row>
    <row r="39" spans="1:4" x14ac:dyDescent="0.25">
      <c r="A39">
        <f t="shared" si="0"/>
        <v>38</v>
      </c>
      <c r="B39" s="1">
        <v>42171.8125</v>
      </c>
      <c r="C39">
        <v>8</v>
      </c>
      <c r="D39">
        <v>3</v>
      </c>
    </row>
    <row r="40" spans="1:4" x14ac:dyDescent="0.25">
      <c r="A40">
        <f t="shared" si="0"/>
        <v>39</v>
      </c>
      <c r="B40" s="1">
        <v>42178.791666666664</v>
      </c>
      <c r="C40">
        <v>9</v>
      </c>
      <c r="D40">
        <v>3</v>
      </c>
    </row>
    <row r="41" spans="1:4" x14ac:dyDescent="0.25">
      <c r="A41">
        <f t="shared" si="0"/>
        <v>40</v>
      </c>
      <c r="B41" s="1">
        <v>42185.791666666664</v>
      </c>
      <c r="C41">
        <v>8</v>
      </c>
      <c r="D41">
        <v>3</v>
      </c>
    </row>
    <row r="42" spans="1:4" x14ac:dyDescent="0.25">
      <c r="A42">
        <f t="shared" si="0"/>
        <v>41</v>
      </c>
      <c r="B42" s="1">
        <v>42192.8125</v>
      </c>
      <c r="C42">
        <v>6</v>
      </c>
      <c r="D42">
        <v>3</v>
      </c>
    </row>
    <row r="43" spans="1:4" x14ac:dyDescent="0.25">
      <c r="A43">
        <f t="shared" si="0"/>
        <v>42</v>
      </c>
      <c r="B43" s="1">
        <v>42196.291666666664</v>
      </c>
      <c r="C43">
        <v>8</v>
      </c>
      <c r="D43">
        <v>3</v>
      </c>
    </row>
    <row r="44" spans="1:4" x14ac:dyDescent="0.25">
      <c r="A44">
        <f t="shared" si="0"/>
        <v>43</v>
      </c>
      <c r="B44" s="1">
        <v>42201.791666666664</v>
      </c>
      <c r="C44">
        <v>1</v>
      </c>
      <c r="D44">
        <v>3</v>
      </c>
    </row>
    <row r="45" spans="1:4" x14ac:dyDescent="0.25">
      <c r="A45">
        <f t="shared" si="0"/>
        <v>44</v>
      </c>
      <c r="B45" s="1">
        <v>42208.791666666664</v>
      </c>
      <c r="C45">
        <v>2</v>
      </c>
      <c r="D45">
        <v>3</v>
      </c>
    </row>
    <row r="46" spans="1:4" x14ac:dyDescent="0.25">
      <c r="A46">
        <f t="shared" si="0"/>
        <v>45</v>
      </c>
      <c r="B46" s="1">
        <v>42215.791666666664</v>
      </c>
      <c r="C46">
        <v>4</v>
      </c>
      <c r="D46">
        <v>3</v>
      </c>
    </row>
    <row r="47" spans="1:4" x14ac:dyDescent="0.25">
      <c r="A47">
        <f t="shared" si="0"/>
        <v>46</v>
      </c>
      <c r="B47" s="1">
        <v>42222.791666666664</v>
      </c>
      <c r="C47">
        <v>3</v>
      </c>
      <c r="D47">
        <v>3</v>
      </c>
    </row>
    <row r="48" spans="1:4" x14ac:dyDescent="0.25">
      <c r="A48">
        <f t="shared" si="0"/>
        <v>47</v>
      </c>
      <c r="B48" s="1">
        <v>42229.791666666664</v>
      </c>
      <c r="C48">
        <v>2</v>
      </c>
      <c r="D48">
        <v>3</v>
      </c>
    </row>
    <row r="49" spans="1:4" x14ac:dyDescent="0.25">
      <c r="A49">
        <f t="shared" si="0"/>
        <v>48</v>
      </c>
      <c r="B49" s="1">
        <v>42252.291666666664</v>
      </c>
      <c r="C49">
        <v>8</v>
      </c>
      <c r="D49">
        <v>3</v>
      </c>
    </row>
    <row r="50" spans="1:4" x14ac:dyDescent="0.25">
      <c r="A50">
        <f t="shared" si="0"/>
        <v>49</v>
      </c>
      <c r="B50" s="1">
        <v>42259.291666666664</v>
      </c>
      <c r="C50">
        <v>7</v>
      </c>
      <c r="D50">
        <v>3</v>
      </c>
    </row>
    <row r="51" spans="1:4" x14ac:dyDescent="0.25">
      <c r="A51">
        <f t="shared" si="0"/>
        <v>50</v>
      </c>
      <c r="B51" s="1">
        <v>42266.291666666664</v>
      </c>
      <c r="C51">
        <v>7</v>
      </c>
      <c r="D51">
        <v>3</v>
      </c>
    </row>
    <row r="52" spans="1:4" x14ac:dyDescent="0.25">
      <c r="A52">
        <f t="shared" si="0"/>
        <v>51</v>
      </c>
      <c r="B52" s="1">
        <v>42274.416666666664</v>
      </c>
      <c r="C52">
        <v>10</v>
      </c>
      <c r="D52">
        <v>3</v>
      </c>
    </row>
    <row r="53" spans="1:4" x14ac:dyDescent="0.25">
      <c r="A53">
        <f t="shared" si="0"/>
        <v>52</v>
      </c>
      <c r="B53" s="1">
        <v>42364.416666666664</v>
      </c>
      <c r="C53">
        <v>11</v>
      </c>
      <c r="D53">
        <v>3</v>
      </c>
    </row>
    <row r="54" spans="1:4" x14ac:dyDescent="0.25">
      <c r="A54">
        <f t="shared" si="0"/>
        <v>53</v>
      </c>
      <c r="B54" s="1">
        <v>42442.375</v>
      </c>
      <c r="C54">
        <v>1</v>
      </c>
      <c r="D54">
        <v>4</v>
      </c>
    </row>
    <row r="55" spans="1:4" x14ac:dyDescent="0.25">
      <c r="A55">
        <f t="shared" si="0"/>
        <v>54</v>
      </c>
      <c r="B55" s="1">
        <v>42449.354166666664</v>
      </c>
      <c r="C55">
        <v>2</v>
      </c>
      <c r="D55">
        <v>4</v>
      </c>
    </row>
    <row r="56" spans="1:4" x14ac:dyDescent="0.25">
      <c r="A56">
        <f t="shared" si="0"/>
        <v>55</v>
      </c>
      <c r="B56" s="1">
        <v>42474.770833333336</v>
      </c>
      <c r="C56">
        <v>3</v>
      </c>
      <c r="D56">
        <v>4</v>
      </c>
    </row>
    <row r="57" spans="1:4" x14ac:dyDescent="0.25">
      <c r="A57">
        <f t="shared" si="0"/>
        <v>56</v>
      </c>
      <c r="B57" s="1">
        <v>42481.78125</v>
      </c>
      <c r="C57">
        <v>2</v>
      </c>
      <c r="D57">
        <v>4</v>
      </c>
    </row>
    <row r="58" spans="1:4" x14ac:dyDescent="0.25">
      <c r="A58">
        <f t="shared" si="0"/>
        <v>57</v>
      </c>
      <c r="B58" s="1">
        <v>42488.791666666664</v>
      </c>
      <c r="C58">
        <v>1</v>
      </c>
      <c r="D58">
        <v>4</v>
      </c>
    </row>
    <row r="59" spans="1:4" x14ac:dyDescent="0.25">
      <c r="A59">
        <f t="shared" si="0"/>
        <v>58</v>
      </c>
      <c r="B59" s="1">
        <v>42495.791666666664</v>
      </c>
      <c r="C59">
        <v>4</v>
      </c>
      <c r="D59">
        <v>4</v>
      </c>
    </row>
    <row r="60" spans="1:4" x14ac:dyDescent="0.25">
      <c r="A60">
        <f t="shared" si="0"/>
        <v>59</v>
      </c>
      <c r="B60" s="1">
        <v>42502.791666666664</v>
      </c>
      <c r="C60">
        <v>1</v>
      </c>
      <c r="D60">
        <v>4</v>
      </c>
    </row>
    <row r="61" spans="1:4" x14ac:dyDescent="0.25">
      <c r="A61">
        <f t="shared" si="0"/>
        <v>60</v>
      </c>
      <c r="B61" s="1">
        <v>42509.791666666664</v>
      </c>
      <c r="C61">
        <v>2</v>
      </c>
      <c r="D61">
        <v>4</v>
      </c>
    </row>
    <row r="62" spans="1:4" x14ac:dyDescent="0.25">
      <c r="A62">
        <f t="shared" si="0"/>
        <v>61</v>
      </c>
      <c r="B62" s="1">
        <v>42516.791666666664</v>
      </c>
      <c r="C62">
        <v>5</v>
      </c>
      <c r="D62">
        <v>4</v>
      </c>
    </row>
    <row r="63" spans="1:4" x14ac:dyDescent="0.25">
      <c r="A63">
        <f t="shared" si="0"/>
        <v>62</v>
      </c>
      <c r="B63" s="1">
        <v>42521.8125</v>
      </c>
      <c r="C63">
        <v>8</v>
      </c>
      <c r="D63">
        <v>4</v>
      </c>
    </row>
    <row r="64" spans="1:4" x14ac:dyDescent="0.25">
      <c r="A64">
        <f t="shared" si="0"/>
        <v>63</v>
      </c>
      <c r="B64" s="1">
        <v>42528.8125</v>
      </c>
      <c r="C64">
        <v>6</v>
      </c>
      <c r="D64">
        <v>4</v>
      </c>
    </row>
    <row r="65" spans="1:4" x14ac:dyDescent="0.25">
      <c r="A65">
        <f t="shared" si="0"/>
        <v>64</v>
      </c>
      <c r="B65" s="1">
        <v>42535.8125</v>
      </c>
      <c r="C65">
        <v>8</v>
      </c>
      <c r="D65">
        <v>4</v>
      </c>
    </row>
    <row r="66" spans="1:4" x14ac:dyDescent="0.25">
      <c r="A66">
        <f t="shared" si="0"/>
        <v>65</v>
      </c>
      <c r="B66" s="1">
        <v>42542.8125</v>
      </c>
      <c r="C66">
        <v>9</v>
      </c>
      <c r="D66">
        <v>4</v>
      </c>
    </row>
    <row r="67" spans="1:4" x14ac:dyDescent="0.25">
      <c r="A67">
        <f t="shared" si="0"/>
        <v>66</v>
      </c>
      <c r="B67" s="1">
        <v>42549.8125</v>
      </c>
      <c r="C67">
        <v>8</v>
      </c>
      <c r="D67">
        <v>4</v>
      </c>
    </row>
    <row r="68" spans="1:4" x14ac:dyDescent="0.25">
      <c r="A68">
        <f t="shared" ref="A68:A79" si="1">A67+1</f>
        <v>67</v>
      </c>
      <c r="B68" s="1">
        <v>42556.8125</v>
      </c>
      <c r="C68">
        <v>6</v>
      </c>
      <c r="D68">
        <v>4</v>
      </c>
    </row>
    <row r="69" spans="1:4" x14ac:dyDescent="0.25">
      <c r="A69">
        <f t="shared" si="1"/>
        <v>68</v>
      </c>
      <c r="B69" s="1">
        <v>42560.291666666664</v>
      </c>
      <c r="C69">
        <v>8</v>
      </c>
      <c r="D69">
        <v>4</v>
      </c>
    </row>
    <row r="70" spans="1:4" x14ac:dyDescent="0.25">
      <c r="A70">
        <f t="shared" si="1"/>
        <v>69</v>
      </c>
      <c r="B70" s="1">
        <v>42565.791666666664</v>
      </c>
      <c r="C70">
        <v>1</v>
      </c>
      <c r="D70">
        <v>4</v>
      </c>
    </row>
    <row r="71" spans="1:4" x14ac:dyDescent="0.25">
      <c r="A71">
        <f t="shared" si="1"/>
        <v>70</v>
      </c>
      <c r="B71" s="1">
        <v>42572.791666666664</v>
      </c>
      <c r="C71">
        <v>2</v>
      </c>
      <c r="D71">
        <v>4</v>
      </c>
    </row>
    <row r="72" spans="1:4" x14ac:dyDescent="0.25">
      <c r="A72">
        <f t="shared" si="1"/>
        <v>71</v>
      </c>
      <c r="B72" s="1">
        <v>42579.791666666664</v>
      </c>
      <c r="C72">
        <v>4</v>
      </c>
      <c r="D72">
        <v>4</v>
      </c>
    </row>
    <row r="73" spans="1:4" x14ac:dyDescent="0.25">
      <c r="A73">
        <f t="shared" si="1"/>
        <v>72</v>
      </c>
      <c r="B73" s="1">
        <v>42586.791666666664</v>
      </c>
      <c r="C73">
        <v>3</v>
      </c>
      <c r="D73">
        <v>4</v>
      </c>
    </row>
    <row r="74" spans="1:4" x14ac:dyDescent="0.25">
      <c r="A74">
        <f t="shared" si="1"/>
        <v>73</v>
      </c>
      <c r="B74" s="1">
        <v>42593.791666666664</v>
      </c>
      <c r="C74">
        <v>2</v>
      </c>
      <c r="D74">
        <v>4</v>
      </c>
    </row>
    <row r="75" spans="1:4" x14ac:dyDescent="0.25">
      <c r="A75">
        <f t="shared" si="1"/>
        <v>74</v>
      </c>
      <c r="B75" s="1">
        <v>42616.291666666664</v>
      </c>
      <c r="C75">
        <v>8</v>
      </c>
      <c r="D75">
        <v>4</v>
      </c>
    </row>
    <row r="76" spans="1:4" x14ac:dyDescent="0.25">
      <c r="A76">
        <f t="shared" si="1"/>
        <v>75</v>
      </c>
      <c r="B76" s="1">
        <v>42623.302083333336</v>
      </c>
      <c r="C76">
        <v>7</v>
      </c>
      <c r="D76">
        <v>4</v>
      </c>
    </row>
    <row r="77" spans="1:4" x14ac:dyDescent="0.25">
      <c r="A77">
        <f t="shared" si="1"/>
        <v>76</v>
      </c>
      <c r="B77" s="1">
        <v>42630.302083333336</v>
      </c>
      <c r="C77">
        <v>7</v>
      </c>
      <c r="D77">
        <v>4</v>
      </c>
    </row>
    <row r="78" spans="1:4" x14ac:dyDescent="0.25">
      <c r="A78">
        <f t="shared" si="1"/>
        <v>77</v>
      </c>
      <c r="B78" s="1">
        <v>42638.416666666664</v>
      </c>
      <c r="C78">
        <v>11</v>
      </c>
      <c r="D78">
        <v>4</v>
      </c>
    </row>
    <row r="79" spans="1:4" x14ac:dyDescent="0.25">
      <c r="A79">
        <f t="shared" si="1"/>
        <v>78</v>
      </c>
      <c r="B79" s="1">
        <v>42730.416666666664</v>
      </c>
      <c r="C79">
        <v>10</v>
      </c>
      <c r="D79">
        <v>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A2" sqref="A2"/>
    </sheetView>
  </sheetViews>
  <sheetFormatPr defaultRowHeight="15" x14ac:dyDescent="0.25"/>
  <cols>
    <col min="1" max="1" width="9.140625" customWidth="1"/>
    <col min="3" max="3" width="22.5703125" customWidth="1"/>
    <col min="4" max="4" width="27.85546875" customWidth="1"/>
  </cols>
  <sheetData>
    <row r="1" spans="1:5" x14ac:dyDescent="0.25">
      <c r="A1" t="s">
        <v>0</v>
      </c>
      <c r="B1" t="s">
        <v>96</v>
      </c>
      <c r="C1" t="s">
        <v>130</v>
      </c>
      <c r="D1" t="s">
        <v>131</v>
      </c>
      <c r="E1" t="s">
        <v>132</v>
      </c>
    </row>
    <row r="2" spans="1:5" x14ac:dyDescent="0.25">
      <c r="A2">
        <v>1</v>
      </c>
      <c r="B2" t="s">
        <v>133</v>
      </c>
      <c r="C2" s="1">
        <v>41275</v>
      </c>
      <c r="D2" s="1">
        <v>41639.999305555553</v>
      </c>
      <c r="E2">
        <v>2013</v>
      </c>
    </row>
    <row r="3" spans="1:5" x14ac:dyDescent="0.25">
      <c r="A3">
        <v>2</v>
      </c>
      <c r="B3" t="s">
        <v>134</v>
      </c>
      <c r="C3" s="1">
        <v>41640</v>
      </c>
      <c r="D3" s="1">
        <v>42004.999305555553</v>
      </c>
      <c r="E3">
        <v>2014</v>
      </c>
    </row>
    <row r="4" spans="1:5" x14ac:dyDescent="0.25">
      <c r="A4">
        <v>3</v>
      </c>
      <c r="B4" t="s">
        <v>135</v>
      </c>
      <c r="C4" s="1">
        <v>42005</v>
      </c>
      <c r="D4" s="1">
        <v>42369.999305555553</v>
      </c>
      <c r="E4">
        <v>2015</v>
      </c>
    </row>
    <row r="5" spans="1:5" x14ac:dyDescent="0.25">
      <c r="A5">
        <v>4</v>
      </c>
      <c r="B5" t="s">
        <v>136</v>
      </c>
      <c r="C5" s="1">
        <v>42370</v>
      </c>
      <c r="D5" s="1">
        <v>42735.999305555553</v>
      </c>
      <c r="E5">
        <v>2016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
  <sheetViews>
    <sheetView workbookViewId="0">
      <selection activeCell="I11" sqref="I11"/>
    </sheetView>
  </sheetViews>
  <sheetFormatPr defaultRowHeight="15" x14ac:dyDescent="0.25"/>
  <cols>
    <col min="2" max="2" width="19.5703125" customWidth="1"/>
  </cols>
  <sheetData>
    <row r="1" spans="1:8" x14ac:dyDescent="0.25">
      <c r="A1" t="s">
        <v>0</v>
      </c>
      <c r="B1" t="s">
        <v>96</v>
      </c>
      <c r="C1" t="s">
        <v>172</v>
      </c>
      <c r="D1" t="s">
        <v>173</v>
      </c>
      <c r="E1" t="s">
        <v>174</v>
      </c>
      <c r="F1" t="s">
        <v>175</v>
      </c>
      <c r="G1" t="s">
        <v>176</v>
      </c>
      <c r="H1" t="s">
        <v>177</v>
      </c>
    </row>
    <row r="2" spans="1:8" x14ac:dyDescent="0.25">
      <c r="A2">
        <v>7</v>
      </c>
      <c r="B2" t="s">
        <v>103</v>
      </c>
      <c r="C2" t="s">
        <v>137</v>
      </c>
      <c r="E2" t="s">
        <v>138</v>
      </c>
      <c r="F2">
        <v>10</v>
      </c>
      <c r="G2" t="s">
        <v>139</v>
      </c>
      <c r="H2" t="s">
        <v>140</v>
      </c>
    </row>
    <row r="3" spans="1:8" x14ac:dyDescent="0.25">
      <c r="A3">
        <v>8</v>
      </c>
      <c r="B3" t="s">
        <v>104</v>
      </c>
      <c r="C3" t="s">
        <v>141</v>
      </c>
      <c r="E3" t="s">
        <v>142</v>
      </c>
      <c r="F3">
        <v>10</v>
      </c>
      <c r="G3" t="s">
        <v>143</v>
      </c>
      <c r="H3" t="s">
        <v>140</v>
      </c>
    </row>
    <row r="4" spans="1:8" x14ac:dyDescent="0.25">
      <c r="A4">
        <v>9</v>
      </c>
      <c r="B4" t="s">
        <v>105</v>
      </c>
      <c r="C4" t="s">
        <v>144</v>
      </c>
      <c r="F4">
        <v>10</v>
      </c>
      <c r="G4" t="s">
        <v>145</v>
      </c>
      <c r="H4" t="s">
        <v>140</v>
      </c>
    </row>
    <row r="5" spans="1:8" x14ac:dyDescent="0.25">
      <c r="A5">
        <v>1</v>
      </c>
      <c r="B5" t="s">
        <v>97</v>
      </c>
      <c r="C5" t="s">
        <v>146</v>
      </c>
      <c r="E5" t="s">
        <v>147</v>
      </c>
      <c r="F5">
        <v>9.8000000000000007</v>
      </c>
      <c r="G5" t="s">
        <v>148</v>
      </c>
      <c r="H5" t="s">
        <v>140</v>
      </c>
    </row>
    <row r="6" spans="1:8" x14ac:dyDescent="0.25">
      <c r="A6">
        <v>11</v>
      </c>
      <c r="B6" t="s">
        <v>107</v>
      </c>
      <c r="C6" t="s">
        <v>149</v>
      </c>
      <c r="F6">
        <v>0.91</v>
      </c>
      <c r="G6" t="s">
        <v>150</v>
      </c>
      <c r="H6" t="s">
        <v>140</v>
      </c>
    </row>
    <row r="7" spans="1:8" x14ac:dyDescent="0.25">
      <c r="A7">
        <v>2</v>
      </c>
      <c r="B7" t="s">
        <v>98</v>
      </c>
      <c r="C7" t="s">
        <v>151</v>
      </c>
      <c r="D7" t="s">
        <v>152</v>
      </c>
      <c r="E7" t="s">
        <v>153</v>
      </c>
      <c r="F7">
        <v>11.72</v>
      </c>
      <c r="G7" t="s">
        <v>154</v>
      </c>
      <c r="H7" t="s">
        <v>140</v>
      </c>
    </row>
    <row r="8" spans="1:8" x14ac:dyDescent="0.25">
      <c r="A8">
        <v>3</v>
      </c>
      <c r="B8" t="s">
        <v>99</v>
      </c>
      <c r="C8" t="s">
        <v>155</v>
      </c>
      <c r="D8" t="s">
        <v>156</v>
      </c>
      <c r="E8" t="s">
        <v>157</v>
      </c>
      <c r="F8">
        <v>11.5</v>
      </c>
      <c r="G8" t="s">
        <v>158</v>
      </c>
      <c r="H8" t="s">
        <v>140</v>
      </c>
    </row>
    <row r="9" spans="1:8" x14ac:dyDescent="0.25">
      <c r="A9">
        <v>4</v>
      </c>
      <c r="B9" t="s">
        <v>100</v>
      </c>
      <c r="C9" t="s">
        <v>159</v>
      </c>
      <c r="D9" t="s">
        <v>160</v>
      </c>
      <c r="E9" t="s">
        <v>161</v>
      </c>
      <c r="F9">
        <v>12.31</v>
      </c>
      <c r="G9" t="s">
        <v>162</v>
      </c>
      <c r="H9" t="s">
        <v>140</v>
      </c>
    </row>
    <row r="10" spans="1:8" x14ac:dyDescent="0.25">
      <c r="A10">
        <v>5</v>
      </c>
      <c r="B10" t="s">
        <v>101</v>
      </c>
      <c r="C10" t="s">
        <v>163</v>
      </c>
      <c r="E10" t="s">
        <v>164</v>
      </c>
      <c r="F10">
        <v>21.69</v>
      </c>
      <c r="G10" t="s">
        <v>165</v>
      </c>
      <c r="H10" t="s">
        <v>140</v>
      </c>
    </row>
    <row r="11" spans="1:8" x14ac:dyDescent="0.25">
      <c r="A11">
        <v>6</v>
      </c>
      <c r="B11" t="s">
        <v>102</v>
      </c>
      <c r="C11" t="s">
        <v>166</v>
      </c>
      <c r="E11" t="s">
        <v>167</v>
      </c>
      <c r="F11">
        <v>10</v>
      </c>
      <c r="G11" t="s">
        <v>168</v>
      </c>
      <c r="H11" t="s">
        <v>140</v>
      </c>
    </row>
    <row r="12" spans="1:8" x14ac:dyDescent="0.25">
      <c r="A12">
        <v>10</v>
      </c>
      <c r="B12" t="s">
        <v>106</v>
      </c>
      <c r="D12" t="s">
        <v>169</v>
      </c>
      <c r="E12" t="s">
        <v>170</v>
      </c>
      <c r="F12">
        <v>8.4</v>
      </c>
      <c r="G12" t="s">
        <v>171</v>
      </c>
      <c r="H12" t="s">
        <v>140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
  <sheetViews>
    <sheetView workbookViewId="0">
      <selection activeCell="B9" sqref="B9"/>
    </sheetView>
  </sheetViews>
  <sheetFormatPr defaultRowHeight="15" x14ac:dyDescent="0.25"/>
  <cols>
    <col min="2" max="2" width="23" customWidth="1"/>
    <col min="4" max="4" width="24.42578125" customWidth="1"/>
  </cols>
  <sheetData>
    <row r="1" spans="1:5" x14ac:dyDescent="0.25">
      <c r="A1" t="s">
        <v>0</v>
      </c>
      <c r="B1" t="s">
        <v>1</v>
      </c>
      <c r="C1" t="s">
        <v>2</v>
      </c>
      <c r="D1" t="s">
        <v>3</v>
      </c>
      <c r="E1" t="s">
        <v>110</v>
      </c>
    </row>
    <row r="2" spans="1:5" x14ac:dyDescent="0.25">
      <c r="A2">
        <v>1</v>
      </c>
      <c r="B2" t="s">
        <v>4</v>
      </c>
      <c r="C2" t="s">
        <v>5</v>
      </c>
      <c r="D2" t="s">
        <v>6</v>
      </c>
      <c r="E2" t="s">
        <v>111</v>
      </c>
    </row>
    <row r="3" spans="1:5" x14ac:dyDescent="0.25">
      <c r="A3">
        <v>2</v>
      </c>
      <c r="B3" t="s">
        <v>7</v>
      </c>
      <c r="C3" t="s">
        <v>8</v>
      </c>
      <c r="D3" t="s">
        <v>9</v>
      </c>
      <c r="E3" t="s">
        <v>111</v>
      </c>
    </row>
    <row r="4" spans="1:5" x14ac:dyDescent="0.25">
      <c r="A4">
        <v>3</v>
      </c>
      <c r="B4" t="s">
        <v>10</v>
      </c>
      <c r="C4" t="s">
        <v>11</v>
      </c>
      <c r="D4" t="s">
        <v>12</v>
      </c>
      <c r="E4" t="s">
        <v>111</v>
      </c>
    </row>
    <row r="5" spans="1:5" x14ac:dyDescent="0.25">
      <c r="A5">
        <v>4</v>
      </c>
      <c r="B5" t="s">
        <v>13</v>
      </c>
      <c r="C5" t="s">
        <v>14</v>
      </c>
      <c r="D5" t="s">
        <v>12</v>
      </c>
      <c r="E5" t="s">
        <v>111</v>
      </c>
    </row>
    <row r="6" spans="1:5" x14ac:dyDescent="0.25">
      <c r="A6">
        <v>5</v>
      </c>
      <c r="B6" t="s">
        <v>15</v>
      </c>
      <c r="C6" t="s">
        <v>16</v>
      </c>
      <c r="D6" t="s">
        <v>17</v>
      </c>
      <c r="E6" t="s">
        <v>111</v>
      </c>
    </row>
    <row r="7" spans="1:5" x14ac:dyDescent="0.25">
      <c r="A7">
        <v>6</v>
      </c>
      <c r="B7" t="s">
        <v>18</v>
      </c>
      <c r="C7" t="s">
        <v>19</v>
      </c>
      <c r="D7" t="s">
        <v>20</v>
      </c>
      <c r="E7" t="s">
        <v>111</v>
      </c>
    </row>
    <row r="8" spans="1:5" x14ac:dyDescent="0.25">
      <c r="A8">
        <v>7</v>
      </c>
      <c r="B8" t="s">
        <v>21</v>
      </c>
      <c r="C8" t="s">
        <v>22</v>
      </c>
      <c r="D8" t="s">
        <v>23</v>
      </c>
      <c r="E8" t="s">
        <v>111</v>
      </c>
    </row>
    <row r="9" spans="1:5" x14ac:dyDescent="0.25">
      <c r="A9">
        <v>8</v>
      </c>
      <c r="B9" t="s">
        <v>24</v>
      </c>
      <c r="C9" t="s">
        <v>25</v>
      </c>
      <c r="D9" t="s">
        <v>26</v>
      </c>
      <c r="E9" t="s">
        <v>111</v>
      </c>
    </row>
    <row r="10" spans="1:5" x14ac:dyDescent="0.25">
      <c r="A10">
        <v>9</v>
      </c>
      <c r="B10" t="s">
        <v>27</v>
      </c>
      <c r="C10" t="s">
        <v>28</v>
      </c>
      <c r="D10" t="s">
        <v>29</v>
      </c>
      <c r="E10" t="s">
        <v>111</v>
      </c>
    </row>
    <row r="11" spans="1:5" x14ac:dyDescent="0.25">
      <c r="A11">
        <v>10</v>
      </c>
      <c r="B11" t="s">
        <v>30</v>
      </c>
      <c r="C11" t="s">
        <v>31</v>
      </c>
      <c r="D11" t="s">
        <v>32</v>
      </c>
      <c r="E11" t="s">
        <v>111</v>
      </c>
    </row>
    <row r="12" spans="1:5" x14ac:dyDescent="0.25">
      <c r="A12">
        <v>11</v>
      </c>
      <c r="B12" t="s">
        <v>33</v>
      </c>
      <c r="C12" t="s">
        <v>34</v>
      </c>
      <c r="D12" t="s">
        <v>35</v>
      </c>
      <c r="E12" t="s">
        <v>111</v>
      </c>
    </row>
    <row r="13" spans="1:5" x14ac:dyDescent="0.25">
      <c r="A13">
        <v>12</v>
      </c>
      <c r="B13" t="s">
        <v>36</v>
      </c>
      <c r="C13" t="s">
        <v>16</v>
      </c>
      <c r="D13" t="s">
        <v>37</v>
      </c>
      <c r="E13" t="s">
        <v>111</v>
      </c>
    </row>
    <row r="14" spans="1:5" x14ac:dyDescent="0.25">
      <c r="A14">
        <v>13</v>
      </c>
      <c r="B14" t="s">
        <v>38</v>
      </c>
      <c r="C14" t="s">
        <v>39</v>
      </c>
      <c r="D14" t="s">
        <v>40</v>
      </c>
      <c r="E14" t="s">
        <v>111</v>
      </c>
    </row>
    <row r="15" spans="1:5" x14ac:dyDescent="0.25">
      <c r="A15">
        <v>14</v>
      </c>
      <c r="B15" t="s">
        <v>41</v>
      </c>
      <c r="C15" t="s">
        <v>5</v>
      </c>
      <c r="D15" t="s">
        <v>42</v>
      </c>
      <c r="E15" t="s">
        <v>111</v>
      </c>
    </row>
    <row r="16" spans="1:5" x14ac:dyDescent="0.25">
      <c r="A16">
        <v>15</v>
      </c>
      <c r="B16" t="s">
        <v>43</v>
      </c>
      <c r="C16" t="s">
        <v>44</v>
      </c>
      <c r="D16" t="s">
        <v>45</v>
      </c>
      <c r="E16" t="s">
        <v>111</v>
      </c>
    </row>
    <row r="17" spans="1:5" x14ac:dyDescent="0.25">
      <c r="A17">
        <v>16</v>
      </c>
      <c r="B17" t="s">
        <v>46</v>
      </c>
      <c r="C17" t="s">
        <v>47</v>
      </c>
      <c r="D17" t="s">
        <v>48</v>
      </c>
      <c r="E17" t="s">
        <v>111</v>
      </c>
    </row>
    <row r="18" spans="1:5" x14ac:dyDescent="0.25">
      <c r="A18">
        <v>17</v>
      </c>
      <c r="B18" t="s">
        <v>49</v>
      </c>
      <c r="C18" t="s">
        <v>50</v>
      </c>
      <c r="D18" t="s">
        <v>51</v>
      </c>
      <c r="E18" t="s">
        <v>111</v>
      </c>
    </row>
    <row r="19" spans="1:5" x14ac:dyDescent="0.25">
      <c r="A19">
        <v>18</v>
      </c>
      <c r="B19" t="s">
        <v>52</v>
      </c>
      <c r="C19" t="s">
        <v>53</v>
      </c>
      <c r="D19" t="s">
        <v>54</v>
      </c>
      <c r="E19" t="s">
        <v>111</v>
      </c>
    </row>
    <row r="20" spans="1:5" x14ac:dyDescent="0.25">
      <c r="A20">
        <v>19</v>
      </c>
      <c r="B20" t="s">
        <v>55</v>
      </c>
      <c r="C20" t="s">
        <v>56</v>
      </c>
      <c r="D20" t="s">
        <v>57</v>
      </c>
      <c r="E20" t="s">
        <v>111</v>
      </c>
    </row>
    <row r="21" spans="1:5" x14ac:dyDescent="0.25">
      <c r="A21">
        <v>20</v>
      </c>
      <c r="B21" t="s">
        <v>58</v>
      </c>
      <c r="C21" t="s">
        <v>59</v>
      </c>
      <c r="D21" t="s">
        <v>60</v>
      </c>
      <c r="E21" t="s">
        <v>111</v>
      </c>
    </row>
    <row r="22" spans="1:5" x14ac:dyDescent="0.25">
      <c r="A22">
        <v>21</v>
      </c>
      <c r="B22" t="s">
        <v>61</v>
      </c>
      <c r="C22" t="s">
        <v>62</v>
      </c>
      <c r="D22" t="s">
        <v>63</v>
      </c>
      <c r="E22" t="s">
        <v>111</v>
      </c>
    </row>
    <row r="23" spans="1:5" x14ac:dyDescent="0.25">
      <c r="A23">
        <v>22</v>
      </c>
      <c r="B23" t="s">
        <v>64</v>
      </c>
      <c r="C23" t="s">
        <v>75</v>
      </c>
      <c r="D23" t="s">
        <v>84</v>
      </c>
      <c r="E23" t="s">
        <v>111</v>
      </c>
    </row>
    <row r="24" spans="1:5" x14ac:dyDescent="0.25">
      <c r="A24">
        <v>23</v>
      </c>
      <c r="B24" t="s">
        <v>65</v>
      </c>
      <c r="C24" t="s">
        <v>76</v>
      </c>
      <c r="D24" t="s">
        <v>85</v>
      </c>
      <c r="E24" t="s">
        <v>111</v>
      </c>
    </row>
    <row r="25" spans="1:5" x14ac:dyDescent="0.25">
      <c r="A25">
        <v>24</v>
      </c>
      <c r="B25" t="s">
        <v>66</v>
      </c>
      <c r="C25" t="s">
        <v>77</v>
      </c>
      <c r="D25" t="s">
        <v>86</v>
      </c>
      <c r="E25" t="s">
        <v>111</v>
      </c>
    </row>
    <row r="26" spans="1:5" x14ac:dyDescent="0.25">
      <c r="A26">
        <v>25</v>
      </c>
      <c r="B26" t="s">
        <v>67</v>
      </c>
      <c r="C26" t="s">
        <v>78</v>
      </c>
      <c r="D26" t="s">
        <v>87</v>
      </c>
      <c r="E26" t="s">
        <v>111</v>
      </c>
    </row>
    <row r="27" spans="1:5" x14ac:dyDescent="0.25">
      <c r="A27">
        <v>26</v>
      </c>
      <c r="B27" t="s">
        <v>68</v>
      </c>
      <c r="C27" t="s">
        <v>79</v>
      </c>
      <c r="D27" t="s">
        <v>88</v>
      </c>
      <c r="E27" t="s">
        <v>111</v>
      </c>
    </row>
    <row r="28" spans="1:5" x14ac:dyDescent="0.25">
      <c r="A28">
        <v>27</v>
      </c>
      <c r="B28" t="s">
        <v>69</v>
      </c>
      <c r="C28" t="s">
        <v>80</v>
      </c>
      <c r="D28" t="s">
        <v>20</v>
      </c>
      <c r="E28" t="s">
        <v>111</v>
      </c>
    </row>
    <row r="29" spans="1:5" x14ac:dyDescent="0.25">
      <c r="A29">
        <v>28</v>
      </c>
      <c r="B29" t="s">
        <v>70</v>
      </c>
      <c r="C29" t="s">
        <v>8</v>
      </c>
      <c r="D29" t="s">
        <v>89</v>
      </c>
      <c r="E29" t="s">
        <v>111</v>
      </c>
    </row>
    <row r="30" spans="1:5" x14ac:dyDescent="0.25">
      <c r="A30">
        <v>29</v>
      </c>
      <c r="B30" t="s">
        <v>71</v>
      </c>
      <c r="C30" t="s">
        <v>81</v>
      </c>
      <c r="D30" t="s">
        <v>90</v>
      </c>
      <c r="E30" t="s">
        <v>111</v>
      </c>
    </row>
    <row r="31" spans="1:5" x14ac:dyDescent="0.25">
      <c r="A31">
        <v>30</v>
      </c>
      <c r="B31" t="s">
        <v>72</v>
      </c>
      <c r="C31" t="s">
        <v>82</v>
      </c>
      <c r="D31" t="s">
        <v>91</v>
      </c>
      <c r="E31" t="s">
        <v>111</v>
      </c>
    </row>
    <row r="32" spans="1:5" x14ac:dyDescent="0.25">
      <c r="A32">
        <v>31</v>
      </c>
      <c r="B32" t="s">
        <v>73</v>
      </c>
      <c r="C32" t="s">
        <v>53</v>
      </c>
      <c r="D32" t="s">
        <v>92</v>
      </c>
      <c r="E32" t="s">
        <v>111</v>
      </c>
    </row>
    <row r="33" spans="1:5" x14ac:dyDescent="0.25">
      <c r="A33">
        <v>32</v>
      </c>
      <c r="B33" t="s">
        <v>74</v>
      </c>
      <c r="C33" t="s">
        <v>83</v>
      </c>
      <c r="D33" t="s">
        <v>93</v>
      </c>
      <c r="E33" t="s">
        <v>112</v>
      </c>
    </row>
    <row r="34" spans="1:5" x14ac:dyDescent="0.25">
      <c r="A34">
        <v>33</v>
      </c>
      <c r="B34" t="s">
        <v>115</v>
      </c>
      <c r="C34" t="s">
        <v>116</v>
      </c>
      <c r="D34" t="s">
        <v>117</v>
      </c>
      <c r="E34" t="s">
        <v>113</v>
      </c>
    </row>
    <row r="35" spans="1:5" x14ac:dyDescent="0.25">
      <c r="A35">
        <v>34</v>
      </c>
      <c r="B35" t="s">
        <v>118</v>
      </c>
      <c r="C35" t="s">
        <v>119</v>
      </c>
      <c r="D35" t="s">
        <v>117</v>
      </c>
      <c r="E35" t="s">
        <v>112</v>
      </c>
    </row>
    <row r="36" spans="1:5" x14ac:dyDescent="0.25">
      <c r="A36">
        <v>35</v>
      </c>
      <c r="B36" t="s">
        <v>120</v>
      </c>
      <c r="C36" t="s">
        <v>121</v>
      </c>
      <c r="D36" t="s">
        <v>122</v>
      </c>
      <c r="E36" t="s">
        <v>114</v>
      </c>
    </row>
    <row r="37" spans="1:5" x14ac:dyDescent="0.25">
      <c r="A37">
        <v>36</v>
      </c>
      <c r="B37" t="s">
        <v>123</v>
      </c>
      <c r="C37" t="s">
        <v>8</v>
      </c>
      <c r="D37" t="s">
        <v>117</v>
      </c>
      <c r="E37" t="s">
        <v>114</v>
      </c>
    </row>
    <row r="38" spans="1:5" x14ac:dyDescent="0.25">
      <c r="A38">
        <v>37</v>
      </c>
      <c r="B38" t="s">
        <v>124</v>
      </c>
      <c r="C38" t="s">
        <v>125</v>
      </c>
      <c r="D38" t="s">
        <v>122</v>
      </c>
      <c r="E38" t="s">
        <v>112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327"/>
  <sheetViews>
    <sheetView workbookViewId="0">
      <selection activeCell="F22" sqref="F22"/>
    </sheetView>
  </sheetViews>
  <sheetFormatPr defaultRowHeight="15" x14ac:dyDescent="0.25"/>
  <sheetData>
    <row r="1" spans="1:4" x14ac:dyDescent="0.25">
      <c r="A1" t="s">
        <v>0</v>
      </c>
      <c r="B1" t="s">
        <v>94</v>
      </c>
      <c r="C1" t="s">
        <v>95</v>
      </c>
      <c r="D1" t="s">
        <v>110</v>
      </c>
    </row>
    <row r="2" spans="1:4" x14ac:dyDescent="0.25">
      <c r="A2">
        <v>1</v>
      </c>
      <c r="B2">
        <v>1</v>
      </c>
      <c r="C2">
        <v>14</v>
      </c>
      <c r="D2" t="s">
        <v>112</v>
      </c>
    </row>
    <row r="3" spans="1:4" x14ac:dyDescent="0.25">
      <c r="A3">
        <v>2</v>
      </c>
      <c r="B3">
        <v>1</v>
      </c>
      <c r="C3">
        <v>23</v>
      </c>
      <c r="D3" t="s">
        <v>112</v>
      </c>
    </row>
    <row r="4" spans="1:4" x14ac:dyDescent="0.25">
      <c r="A4">
        <v>3</v>
      </c>
      <c r="B4">
        <v>1</v>
      </c>
      <c r="C4">
        <v>35</v>
      </c>
      <c r="D4" t="s">
        <v>114</v>
      </c>
    </row>
    <row r="5" spans="1:4" x14ac:dyDescent="0.25">
      <c r="A5">
        <v>4</v>
      </c>
      <c r="B5">
        <v>1</v>
      </c>
      <c r="C5">
        <v>36</v>
      </c>
      <c r="D5" t="s">
        <v>114</v>
      </c>
    </row>
    <row r="6" spans="1:4" x14ac:dyDescent="0.25">
      <c r="A6">
        <v>5</v>
      </c>
      <c r="B6">
        <v>2</v>
      </c>
      <c r="C6">
        <v>22</v>
      </c>
      <c r="D6" t="s">
        <v>112</v>
      </c>
    </row>
    <row r="7" spans="1:4" x14ac:dyDescent="0.25">
      <c r="A7">
        <v>6</v>
      </c>
      <c r="B7">
        <v>2</v>
      </c>
      <c r="C7">
        <v>12</v>
      </c>
      <c r="D7" t="s">
        <v>112</v>
      </c>
    </row>
    <row r="8" spans="1:4" x14ac:dyDescent="0.25">
      <c r="A8">
        <v>7</v>
      </c>
      <c r="B8">
        <v>2</v>
      </c>
      <c r="C8">
        <v>8</v>
      </c>
      <c r="D8" t="s">
        <v>112</v>
      </c>
    </row>
    <row r="9" spans="1:4" x14ac:dyDescent="0.25">
      <c r="A9">
        <v>8</v>
      </c>
      <c r="B9">
        <v>2</v>
      </c>
      <c r="C9">
        <v>24</v>
      </c>
      <c r="D9" t="s">
        <v>112</v>
      </c>
    </row>
    <row r="10" spans="1:4" x14ac:dyDescent="0.25">
      <c r="A10">
        <v>9</v>
      </c>
      <c r="B10">
        <v>2</v>
      </c>
      <c r="C10">
        <v>35</v>
      </c>
      <c r="D10" t="s">
        <v>114</v>
      </c>
    </row>
    <row r="11" spans="1:4" x14ac:dyDescent="0.25">
      <c r="A11">
        <v>10</v>
      </c>
      <c r="B11">
        <v>3</v>
      </c>
      <c r="C11">
        <v>5</v>
      </c>
      <c r="D11" t="s">
        <v>112</v>
      </c>
    </row>
    <row r="12" spans="1:4" x14ac:dyDescent="0.25">
      <c r="A12">
        <v>11</v>
      </c>
      <c r="B12">
        <v>3</v>
      </c>
      <c r="C12">
        <v>35</v>
      </c>
      <c r="D12" t="s">
        <v>114</v>
      </c>
    </row>
    <row r="13" spans="1:4" x14ac:dyDescent="0.25">
      <c r="A13">
        <v>12</v>
      </c>
      <c r="B13">
        <v>4</v>
      </c>
      <c r="C13">
        <v>15</v>
      </c>
      <c r="D13" t="s">
        <v>112</v>
      </c>
    </row>
    <row r="14" spans="1:4" x14ac:dyDescent="0.25">
      <c r="A14">
        <v>13</v>
      </c>
      <c r="B14">
        <v>4</v>
      </c>
      <c r="C14">
        <v>7</v>
      </c>
      <c r="D14" t="s">
        <v>112</v>
      </c>
    </row>
    <row r="15" spans="1:4" x14ac:dyDescent="0.25">
      <c r="A15">
        <v>14</v>
      </c>
      <c r="B15">
        <v>4</v>
      </c>
      <c r="C15">
        <v>35</v>
      </c>
      <c r="D15" t="s">
        <v>114</v>
      </c>
    </row>
    <row r="16" spans="1:4" x14ac:dyDescent="0.25">
      <c r="A16">
        <v>15</v>
      </c>
      <c r="B16">
        <v>5</v>
      </c>
      <c r="C16">
        <v>33</v>
      </c>
      <c r="D16" t="s">
        <v>112</v>
      </c>
    </row>
    <row r="17" spans="1:4" x14ac:dyDescent="0.25">
      <c r="A17">
        <v>16</v>
      </c>
      <c r="B17">
        <v>5</v>
      </c>
      <c r="C17">
        <v>28</v>
      </c>
      <c r="D17" t="s">
        <v>112</v>
      </c>
    </row>
    <row r="18" spans="1:4" x14ac:dyDescent="0.25">
      <c r="A18">
        <v>17</v>
      </c>
      <c r="B18">
        <v>5</v>
      </c>
      <c r="C18">
        <v>36</v>
      </c>
      <c r="D18" t="s">
        <v>114</v>
      </c>
    </row>
    <row r="19" spans="1:4" x14ac:dyDescent="0.25">
      <c r="A19">
        <v>18</v>
      </c>
      <c r="B19">
        <v>6</v>
      </c>
      <c r="C19">
        <v>12</v>
      </c>
      <c r="D19" t="s">
        <v>112</v>
      </c>
    </row>
    <row r="20" spans="1:4" x14ac:dyDescent="0.25">
      <c r="A20">
        <v>19</v>
      </c>
      <c r="B20">
        <v>6</v>
      </c>
      <c r="C20">
        <v>30</v>
      </c>
      <c r="D20" t="s">
        <v>112</v>
      </c>
    </row>
    <row r="21" spans="1:4" x14ac:dyDescent="0.25">
      <c r="A21">
        <v>20</v>
      </c>
      <c r="B21">
        <v>6</v>
      </c>
      <c r="C21">
        <v>24</v>
      </c>
      <c r="D21" t="s">
        <v>112</v>
      </c>
    </row>
    <row r="22" spans="1:4" x14ac:dyDescent="0.25">
      <c r="A22">
        <v>21</v>
      </c>
      <c r="B22">
        <v>6</v>
      </c>
      <c r="C22">
        <v>20</v>
      </c>
      <c r="D22" t="s">
        <v>112</v>
      </c>
    </row>
    <row r="23" spans="1:4" x14ac:dyDescent="0.25">
      <c r="A23">
        <v>22</v>
      </c>
      <c r="B23">
        <v>6</v>
      </c>
      <c r="C23">
        <v>36</v>
      </c>
      <c r="D23" t="s">
        <v>114</v>
      </c>
    </row>
    <row r="24" spans="1:4" x14ac:dyDescent="0.25">
      <c r="A24">
        <v>23</v>
      </c>
      <c r="B24">
        <v>6</v>
      </c>
      <c r="C24">
        <v>33</v>
      </c>
      <c r="D24" t="s">
        <v>114</v>
      </c>
    </row>
    <row r="25" spans="1:4" x14ac:dyDescent="0.25">
      <c r="A25">
        <v>24</v>
      </c>
      <c r="B25">
        <v>7</v>
      </c>
      <c r="C25">
        <v>2</v>
      </c>
      <c r="D25" t="s">
        <v>112</v>
      </c>
    </row>
    <row r="26" spans="1:4" x14ac:dyDescent="0.25">
      <c r="A26">
        <v>25</v>
      </c>
      <c r="B26">
        <v>7</v>
      </c>
      <c r="C26">
        <v>36</v>
      </c>
      <c r="D26" t="s">
        <v>114</v>
      </c>
    </row>
    <row r="27" spans="1:4" x14ac:dyDescent="0.25">
      <c r="A27">
        <v>26</v>
      </c>
      <c r="B27">
        <v>8</v>
      </c>
      <c r="C27">
        <v>31</v>
      </c>
      <c r="D27" t="s">
        <v>112</v>
      </c>
    </row>
    <row r="28" spans="1:4" x14ac:dyDescent="0.25">
      <c r="A28">
        <v>27</v>
      </c>
      <c r="B28">
        <v>8</v>
      </c>
      <c r="C28">
        <v>25</v>
      </c>
      <c r="D28" t="s">
        <v>112</v>
      </c>
    </row>
    <row r="29" spans="1:4" x14ac:dyDescent="0.25">
      <c r="A29">
        <v>28</v>
      </c>
      <c r="B29">
        <v>8</v>
      </c>
      <c r="C29">
        <v>35</v>
      </c>
      <c r="D29" t="s">
        <v>114</v>
      </c>
    </row>
    <row r="30" spans="1:4" x14ac:dyDescent="0.25">
      <c r="A30">
        <v>29</v>
      </c>
      <c r="B30">
        <v>9</v>
      </c>
      <c r="C30">
        <v>5</v>
      </c>
      <c r="D30" t="s">
        <v>112</v>
      </c>
    </row>
    <row r="31" spans="1:4" x14ac:dyDescent="0.25">
      <c r="A31">
        <v>30</v>
      </c>
      <c r="B31">
        <v>9</v>
      </c>
      <c r="C31">
        <v>35</v>
      </c>
      <c r="D31" t="s">
        <v>114</v>
      </c>
    </row>
    <row r="32" spans="1:4" x14ac:dyDescent="0.25">
      <c r="A32">
        <v>31</v>
      </c>
      <c r="B32">
        <v>9</v>
      </c>
      <c r="C32">
        <v>36</v>
      </c>
      <c r="D32" t="s">
        <v>114</v>
      </c>
    </row>
    <row r="33" spans="1:4" x14ac:dyDescent="0.25">
      <c r="A33">
        <v>32</v>
      </c>
      <c r="B33">
        <v>10</v>
      </c>
      <c r="C33">
        <v>34</v>
      </c>
      <c r="D33" t="s">
        <v>112</v>
      </c>
    </row>
    <row r="34" spans="1:4" x14ac:dyDescent="0.25">
      <c r="A34">
        <v>33</v>
      </c>
      <c r="B34">
        <v>10</v>
      </c>
      <c r="C34">
        <v>15</v>
      </c>
      <c r="D34" t="s">
        <v>112</v>
      </c>
    </row>
    <row r="35" spans="1:4" x14ac:dyDescent="0.25">
      <c r="A35">
        <v>34</v>
      </c>
      <c r="B35">
        <v>10</v>
      </c>
      <c r="C35">
        <v>3</v>
      </c>
      <c r="D35" t="s">
        <v>112</v>
      </c>
    </row>
    <row r="36" spans="1:4" x14ac:dyDescent="0.25">
      <c r="A36">
        <v>35</v>
      </c>
      <c r="B36">
        <v>10</v>
      </c>
      <c r="C36">
        <v>6</v>
      </c>
      <c r="D36" t="s">
        <v>112</v>
      </c>
    </row>
    <row r="37" spans="1:4" x14ac:dyDescent="0.25">
      <c r="A37">
        <v>36</v>
      </c>
      <c r="B37">
        <v>10</v>
      </c>
      <c r="C37">
        <v>36</v>
      </c>
      <c r="D37" t="s">
        <v>114</v>
      </c>
    </row>
    <row r="38" spans="1:4" x14ac:dyDescent="0.25">
      <c r="A38">
        <v>37</v>
      </c>
      <c r="B38">
        <v>10</v>
      </c>
      <c r="C38">
        <v>35</v>
      </c>
      <c r="D38" t="s">
        <v>114</v>
      </c>
    </row>
    <row r="39" spans="1:4" x14ac:dyDescent="0.25">
      <c r="A39">
        <v>38</v>
      </c>
      <c r="B39">
        <v>11</v>
      </c>
      <c r="C39">
        <v>3</v>
      </c>
      <c r="D39" t="s">
        <v>112</v>
      </c>
    </row>
    <row r="40" spans="1:4" x14ac:dyDescent="0.25">
      <c r="A40">
        <v>39</v>
      </c>
      <c r="B40">
        <v>11</v>
      </c>
      <c r="C40">
        <v>7</v>
      </c>
      <c r="D40" t="s">
        <v>112</v>
      </c>
    </row>
    <row r="41" spans="1:4" x14ac:dyDescent="0.25">
      <c r="A41">
        <v>40</v>
      </c>
      <c r="B41">
        <v>11</v>
      </c>
      <c r="C41">
        <v>35</v>
      </c>
      <c r="D41" t="s">
        <v>114</v>
      </c>
    </row>
    <row r="42" spans="1:4" x14ac:dyDescent="0.25">
      <c r="A42">
        <v>41</v>
      </c>
      <c r="B42">
        <v>12</v>
      </c>
      <c r="C42">
        <v>10</v>
      </c>
      <c r="D42" t="s">
        <v>112</v>
      </c>
    </row>
    <row r="43" spans="1:4" x14ac:dyDescent="0.25">
      <c r="A43">
        <v>42</v>
      </c>
      <c r="B43">
        <v>12</v>
      </c>
      <c r="C43">
        <v>17</v>
      </c>
      <c r="D43" t="s">
        <v>112</v>
      </c>
    </row>
    <row r="44" spans="1:4" x14ac:dyDescent="0.25">
      <c r="A44">
        <v>43</v>
      </c>
      <c r="B44">
        <v>12</v>
      </c>
      <c r="C44">
        <v>35</v>
      </c>
      <c r="D44" t="s">
        <v>114</v>
      </c>
    </row>
    <row r="45" spans="1:4" x14ac:dyDescent="0.25">
      <c r="A45">
        <v>44</v>
      </c>
      <c r="B45">
        <v>12</v>
      </c>
      <c r="C45">
        <v>36</v>
      </c>
      <c r="D45" t="s">
        <v>114</v>
      </c>
    </row>
    <row r="46" spans="1:4" x14ac:dyDescent="0.25">
      <c r="A46">
        <v>45</v>
      </c>
      <c r="B46">
        <v>13</v>
      </c>
      <c r="C46">
        <v>3</v>
      </c>
      <c r="D46" t="s">
        <v>112</v>
      </c>
    </row>
    <row r="47" spans="1:4" x14ac:dyDescent="0.25">
      <c r="A47">
        <v>46</v>
      </c>
      <c r="B47">
        <v>13</v>
      </c>
      <c r="C47">
        <v>32</v>
      </c>
      <c r="D47" t="s">
        <v>112</v>
      </c>
    </row>
    <row r="48" spans="1:4" x14ac:dyDescent="0.25">
      <c r="A48">
        <v>47</v>
      </c>
      <c r="B48">
        <v>13</v>
      </c>
      <c r="C48">
        <v>5</v>
      </c>
      <c r="D48" t="s">
        <v>112</v>
      </c>
    </row>
    <row r="49" spans="1:4" x14ac:dyDescent="0.25">
      <c r="A49">
        <v>48</v>
      </c>
      <c r="B49">
        <v>13</v>
      </c>
      <c r="C49">
        <v>31</v>
      </c>
      <c r="D49" t="s">
        <v>112</v>
      </c>
    </row>
    <row r="50" spans="1:4" x14ac:dyDescent="0.25">
      <c r="A50">
        <v>49</v>
      </c>
      <c r="B50">
        <v>13</v>
      </c>
      <c r="C50">
        <v>35</v>
      </c>
      <c r="D50" t="s">
        <v>114</v>
      </c>
    </row>
    <row r="51" spans="1:4" x14ac:dyDescent="0.25">
      <c r="A51">
        <v>50</v>
      </c>
      <c r="B51">
        <v>13</v>
      </c>
      <c r="C51">
        <v>33</v>
      </c>
      <c r="D51" t="s">
        <v>114</v>
      </c>
    </row>
    <row r="52" spans="1:4" x14ac:dyDescent="0.25">
      <c r="A52">
        <v>51</v>
      </c>
      <c r="B52">
        <v>14</v>
      </c>
      <c r="C52">
        <v>4</v>
      </c>
      <c r="D52" t="s">
        <v>112</v>
      </c>
    </row>
    <row r="53" spans="1:4" x14ac:dyDescent="0.25">
      <c r="A53">
        <v>52</v>
      </c>
      <c r="B53">
        <v>14</v>
      </c>
      <c r="C53">
        <v>28</v>
      </c>
      <c r="D53" t="s">
        <v>112</v>
      </c>
    </row>
    <row r="54" spans="1:4" x14ac:dyDescent="0.25">
      <c r="A54">
        <v>53</v>
      </c>
      <c r="B54">
        <v>14</v>
      </c>
      <c r="C54">
        <v>22</v>
      </c>
      <c r="D54" t="s">
        <v>112</v>
      </c>
    </row>
    <row r="55" spans="1:4" x14ac:dyDescent="0.25">
      <c r="A55">
        <v>54</v>
      </c>
      <c r="B55">
        <v>14</v>
      </c>
      <c r="C55">
        <v>31</v>
      </c>
      <c r="D55" t="s">
        <v>112</v>
      </c>
    </row>
    <row r="56" spans="1:4" x14ac:dyDescent="0.25">
      <c r="A56">
        <v>55</v>
      </c>
      <c r="B56">
        <v>14</v>
      </c>
      <c r="C56">
        <v>35</v>
      </c>
      <c r="D56" t="s">
        <v>114</v>
      </c>
    </row>
    <row r="57" spans="1:4" x14ac:dyDescent="0.25">
      <c r="A57">
        <v>56</v>
      </c>
      <c r="B57">
        <v>15</v>
      </c>
      <c r="C57">
        <v>7</v>
      </c>
      <c r="D57" t="s">
        <v>112</v>
      </c>
    </row>
    <row r="58" spans="1:4" x14ac:dyDescent="0.25">
      <c r="A58">
        <v>57</v>
      </c>
      <c r="B58">
        <v>15</v>
      </c>
      <c r="C58">
        <v>33</v>
      </c>
      <c r="D58" t="s">
        <v>114</v>
      </c>
    </row>
    <row r="59" spans="1:4" x14ac:dyDescent="0.25">
      <c r="A59">
        <v>58</v>
      </c>
      <c r="B59">
        <v>16</v>
      </c>
      <c r="C59">
        <v>11</v>
      </c>
      <c r="D59" t="s">
        <v>112</v>
      </c>
    </row>
    <row r="60" spans="1:4" x14ac:dyDescent="0.25">
      <c r="A60">
        <v>59</v>
      </c>
      <c r="B60">
        <v>16</v>
      </c>
      <c r="C60">
        <v>34</v>
      </c>
      <c r="D60" t="s">
        <v>112</v>
      </c>
    </row>
    <row r="61" spans="1:4" x14ac:dyDescent="0.25">
      <c r="A61">
        <v>60</v>
      </c>
      <c r="B61">
        <v>16</v>
      </c>
      <c r="C61">
        <v>35</v>
      </c>
      <c r="D61" t="s">
        <v>114</v>
      </c>
    </row>
    <row r="62" spans="1:4" x14ac:dyDescent="0.25">
      <c r="A62">
        <v>61</v>
      </c>
      <c r="B62">
        <v>17</v>
      </c>
      <c r="C62">
        <v>37</v>
      </c>
      <c r="D62" t="s">
        <v>112</v>
      </c>
    </row>
    <row r="63" spans="1:4" x14ac:dyDescent="0.25">
      <c r="A63">
        <v>62</v>
      </c>
      <c r="B63">
        <v>17</v>
      </c>
      <c r="C63">
        <v>12</v>
      </c>
      <c r="D63" t="s">
        <v>112</v>
      </c>
    </row>
    <row r="64" spans="1:4" x14ac:dyDescent="0.25">
      <c r="A64">
        <v>63</v>
      </c>
      <c r="B64">
        <v>17</v>
      </c>
      <c r="C64">
        <v>8</v>
      </c>
      <c r="D64" t="s">
        <v>112</v>
      </c>
    </row>
    <row r="65" spans="1:4" x14ac:dyDescent="0.25">
      <c r="A65">
        <v>64</v>
      </c>
      <c r="B65">
        <v>17</v>
      </c>
      <c r="C65">
        <v>22</v>
      </c>
      <c r="D65" t="s">
        <v>112</v>
      </c>
    </row>
    <row r="66" spans="1:4" x14ac:dyDescent="0.25">
      <c r="A66">
        <v>65</v>
      </c>
      <c r="B66">
        <v>17</v>
      </c>
      <c r="C66">
        <v>35</v>
      </c>
      <c r="D66" t="s">
        <v>114</v>
      </c>
    </row>
    <row r="67" spans="1:4" x14ac:dyDescent="0.25">
      <c r="A67">
        <v>66</v>
      </c>
      <c r="B67">
        <v>18</v>
      </c>
      <c r="C67">
        <v>4</v>
      </c>
      <c r="D67" t="s">
        <v>112</v>
      </c>
    </row>
    <row r="68" spans="1:4" x14ac:dyDescent="0.25">
      <c r="A68">
        <v>67</v>
      </c>
      <c r="B68">
        <v>18</v>
      </c>
      <c r="C68">
        <v>30</v>
      </c>
      <c r="D68" t="s">
        <v>112</v>
      </c>
    </row>
    <row r="69" spans="1:4" x14ac:dyDescent="0.25">
      <c r="A69">
        <v>68</v>
      </c>
      <c r="B69">
        <v>18</v>
      </c>
      <c r="C69">
        <v>36</v>
      </c>
      <c r="D69" t="s">
        <v>114</v>
      </c>
    </row>
    <row r="70" spans="1:4" x14ac:dyDescent="0.25">
      <c r="A70">
        <v>69</v>
      </c>
      <c r="B70">
        <v>19</v>
      </c>
      <c r="C70">
        <v>5</v>
      </c>
      <c r="D70" t="s">
        <v>112</v>
      </c>
    </row>
    <row r="71" spans="1:4" x14ac:dyDescent="0.25">
      <c r="A71">
        <v>70</v>
      </c>
      <c r="B71">
        <v>19</v>
      </c>
      <c r="C71">
        <v>33</v>
      </c>
      <c r="D71" t="s">
        <v>114</v>
      </c>
    </row>
    <row r="72" spans="1:4" x14ac:dyDescent="0.25">
      <c r="A72">
        <v>71</v>
      </c>
      <c r="B72">
        <v>19</v>
      </c>
      <c r="C72">
        <v>35</v>
      </c>
      <c r="D72" t="s">
        <v>114</v>
      </c>
    </row>
    <row r="73" spans="1:4" x14ac:dyDescent="0.25">
      <c r="A73">
        <v>72</v>
      </c>
      <c r="B73">
        <v>20</v>
      </c>
      <c r="C73">
        <v>21</v>
      </c>
      <c r="D73" t="s">
        <v>112</v>
      </c>
    </row>
    <row r="74" spans="1:4" x14ac:dyDescent="0.25">
      <c r="A74">
        <v>73</v>
      </c>
      <c r="B74">
        <v>20</v>
      </c>
      <c r="C74">
        <v>4</v>
      </c>
      <c r="D74" t="s">
        <v>112</v>
      </c>
    </row>
    <row r="75" spans="1:4" x14ac:dyDescent="0.25">
      <c r="A75">
        <v>74</v>
      </c>
      <c r="B75">
        <v>20</v>
      </c>
      <c r="C75">
        <v>30</v>
      </c>
      <c r="D75" t="s">
        <v>112</v>
      </c>
    </row>
    <row r="76" spans="1:4" x14ac:dyDescent="0.25">
      <c r="A76">
        <v>75</v>
      </c>
      <c r="B76">
        <v>20</v>
      </c>
      <c r="C76">
        <v>13</v>
      </c>
      <c r="D76" t="s">
        <v>112</v>
      </c>
    </row>
    <row r="77" spans="1:4" x14ac:dyDescent="0.25">
      <c r="A77">
        <v>76</v>
      </c>
      <c r="B77">
        <v>20</v>
      </c>
      <c r="C77">
        <v>35</v>
      </c>
      <c r="D77" t="s">
        <v>114</v>
      </c>
    </row>
    <row r="78" spans="1:4" x14ac:dyDescent="0.25">
      <c r="A78">
        <v>77</v>
      </c>
      <c r="B78">
        <v>21</v>
      </c>
      <c r="C78">
        <v>32</v>
      </c>
      <c r="D78" t="s">
        <v>112</v>
      </c>
    </row>
    <row r="79" spans="1:4" x14ac:dyDescent="0.25">
      <c r="A79">
        <v>78</v>
      </c>
      <c r="B79">
        <v>21</v>
      </c>
      <c r="C79">
        <v>12</v>
      </c>
      <c r="D79" t="s">
        <v>112</v>
      </c>
    </row>
    <row r="80" spans="1:4" x14ac:dyDescent="0.25">
      <c r="A80">
        <v>79</v>
      </c>
      <c r="B80">
        <v>21</v>
      </c>
      <c r="C80">
        <v>36</v>
      </c>
      <c r="D80" t="s">
        <v>114</v>
      </c>
    </row>
    <row r="81" spans="1:4" x14ac:dyDescent="0.25">
      <c r="A81">
        <v>80</v>
      </c>
      <c r="B81">
        <v>22</v>
      </c>
      <c r="C81">
        <v>14</v>
      </c>
      <c r="D81" t="s">
        <v>112</v>
      </c>
    </row>
    <row r="82" spans="1:4" x14ac:dyDescent="0.25">
      <c r="A82">
        <v>81</v>
      </c>
      <c r="B82">
        <v>22</v>
      </c>
      <c r="C82">
        <v>27</v>
      </c>
      <c r="D82" t="s">
        <v>112</v>
      </c>
    </row>
    <row r="83" spans="1:4" x14ac:dyDescent="0.25">
      <c r="A83">
        <v>82</v>
      </c>
      <c r="B83">
        <v>22</v>
      </c>
      <c r="C83">
        <v>17</v>
      </c>
      <c r="D83" t="s">
        <v>112</v>
      </c>
    </row>
    <row r="84" spans="1:4" x14ac:dyDescent="0.25">
      <c r="A84">
        <v>83</v>
      </c>
      <c r="B84">
        <v>22</v>
      </c>
      <c r="C84">
        <v>26</v>
      </c>
      <c r="D84" t="s">
        <v>112</v>
      </c>
    </row>
    <row r="85" spans="1:4" x14ac:dyDescent="0.25">
      <c r="A85">
        <v>84</v>
      </c>
      <c r="B85">
        <v>22</v>
      </c>
      <c r="C85">
        <v>36</v>
      </c>
      <c r="D85" t="s">
        <v>114</v>
      </c>
    </row>
    <row r="86" spans="1:4" x14ac:dyDescent="0.25">
      <c r="A86">
        <v>85</v>
      </c>
      <c r="B86">
        <v>22</v>
      </c>
      <c r="C86">
        <v>35</v>
      </c>
      <c r="D86" t="s">
        <v>114</v>
      </c>
    </row>
    <row r="87" spans="1:4" x14ac:dyDescent="0.25">
      <c r="A87">
        <v>86</v>
      </c>
      <c r="B87">
        <v>23</v>
      </c>
      <c r="C87">
        <v>25</v>
      </c>
      <c r="D87" t="s">
        <v>112</v>
      </c>
    </row>
    <row r="88" spans="1:4" x14ac:dyDescent="0.25">
      <c r="A88">
        <v>87</v>
      </c>
      <c r="B88">
        <v>23</v>
      </c>
      <c r="C88">
        <v>29</v>
      </c>
      <c r="D88" t="s">
        <v>112</v>
      </c>
    </row>
    <row r="89" spans="1:4" x14ac:dyDescent="0.25">
      <c r="A89">
        <v>88</v>
      </c>
      <c r="B89">
        <v>23</v>
      </c>
      <c r="C89">
        <v>23</v>
      </c>
      <c r="D89" t="s">
        <v>112</v>
      </c>
    </row>
    <row r="90" spans="1:4" x14ac:dyDescent="0.25">
      <c r="A90">
        <v>89</v>
      </c>
      <c r="B90">
        <v>23</v>
      </c>
      <c r="C90">
        <v>32</v>
      </c>
      <c r="D90" t="s">
        <v>112</v>
      </c>
    </row>
    <row r="91" spans="1:4" x14ac:dyDescent="0.25">
      <c r="A91">
        <v>90</v>
      </c>
      <c r="B91">
        <v>23</v>
      </c>
      <c r="C91">
        <v>35</v>
      </c>
      <c r="D91" t="s">
        <v>114</v>
      </c>
    </row>
    <row r="92" spans="1:4" x14ac:dyDescent="0.25">
      <c r="A92">
        <v>91</v>
      </c>
      <c r="B92">
        <v>24</v>
      </c>
      <c r="C92">
        <v>21</v>
      </c>
      <c r="D92" t="s">
        <v>112</v>
      </c>
    </row>
    <row r="93" spans="1:4" x14ac:dyDescent="0.25">
      <c r="A93">
        <v>92</v>
      </c>
      <c r="B93">
        <v>24</v>
      </c>
      <c r="C93">
        <v>19</v>
      </c>
      <c r="D93" t="s">
        <v>112</v>
      </c>
    </row>
    <row r="94" spans="1:4" x14ac:dyDescent="0.25">
      <c r="A94">
        <v>93</v>
      </c>
      <c r="B94">
        <v>24</v>
      </c>
      <c r="C94">
        <v>10</v>
      </c>
      <c r="D94" t="s">
        <v>112</v>
      </c>
    </row>
    <row r="95" spans="1:4" x14ac:dyDescent="0.25">
      <c r="A95">
        <v>94</v>
      </c>
      <c r="B95">
        <v>24</v>
      </c>
      <c r="C95">
        <v>35</v>
      </c>
      <c r="D95" t="s">
        <v>114</v>
      </c>
    </row>
    <row r="96" spans="1:4" x14ac:dyDescent="0.25">
      <c r="A96">
        <v>95</v>
      </c>
      <c r="B96">
        <v>25</v>
      </c>
      <c r="C96">
        <v>20</v>
      </c>
      <c r="D96" t="s">
        <v>112</v>
      </c>
    </row>
    <row r="97" spans="1:4" x14ac:dyDescent="0.25">
      <c r="A97">
        <v>96</v>
      </c>
      <c r="B97">
        <v>25</v>
      </c>
      <c r="C97">
        <v>24</v>
      </c>
      <c r="D97" t="s">
        <v>112</v>
      </c>
    </row>
    <row r="98" spans="1:4" x14ac:dyDescent="0.25">
      <c r="A98">
        <v>97</v>
      </c>
      <c r="B98">
        <v>25</v>
      </c>
      <c r="C98">
        <v>15</v>
      </c>
      <c r="D98" t="s">
        <v>112</v>
      </c>
    </row>
    <row r="99" spans="1:4" x14ac:dyDescent="0.25">
      <c r="A99">
        <v>98</v>
      </c>
      <c r="B99">
        <v>25</v>
      </c>
      <c r="C99">
        <v>5</v>
      </c>
      <c r="D99" t="s">
        <v>112</v>
      </c>
    </row>
    <row r="100" spans="1:4" x14ac:dyDescent="0.25">
      <c r="A100">
        <v>99</v>
      </c>
      <c r="B100">
        <v>25</v>
      </c>
      <c r="C100">
        <v>36</v>
      </c>
      <c r="D100" t="s">
        <v>114</v>
      </c>
    </row>
    <row r="101" spans="1:4" x14ac:dyDescent="0.25">
      <c r="A101">
        <v>100</v>
      </c>
      <c r="B101">
        <v>26</v>
      </c>
      <c r="C101">
        <v>24</v>
      </c>
      <c r="D101" t="s">
        <v>112</v>
      </c>
    </row>
    <row r="102" spans="1:4" x14ac:dyDescent="0.25">
      <c r="A102">
        <v>101</v>
      </c>
      <c r="B102">
        <v>26</v>
      </c>
      <c r="C102">
        <v>35</v>
      </c>
      <c r="D102" t="s">
        <v>114</v>
      </c>
    </row>
    <row r="103" spans="1:4" x14ac:dyDescent="0.25">
      <c r="A103">
        <v>102</v>
      </c>
      <c r="B103">
        <v>26</v>
      </c>
      <c r="C103">
        <v>33</v>
      </c>
      <c r="D103" t="s">
        <v>114</v>
      </c>
    </row>
    <row r="104" spans="1:4" x14ac:dyDescent="0.25">
      <c r="A104">
        <v>103</v>
      </c>
      <c r="B104">
        <v>27</v>
      </c>
      <c r="C104">
        <v>15</v>
      </c>
      <c r="D104" t="s">
        <v>112</v>
      </c>
    </row>
    <row r="105" spans="1:4" x14ac:dyDescent="0.25">
      <c r="A105">
        <v>104</v>
      </c>
      <c r="B105">
        <v>27</v>
      </c>
      <c r="C105">
        <v>27</v>
      </c>
      <c r="D105" t="s">
        <v>112</v>
      </c>
    </row>
    <row r="106" spans="1:4" x14ac:dyDescent="0.25">
      <c r="A106">
        <v>105</v>
      </c>
      <c r="B106">
        <v>27</v>
      </c>
      <c r="C106">
        <v>33</v>
      </c>
      <c r="D106" t="s">
        <v>114</v>
      </c>
    </row>
    <row r="107" spans="1:4" x14ac:dyDescent="0.25">
      <c r="A107">
        <v>106</v>
      </c>
      <c r="B107">
        <v>28</v>
      </c>
      <c r="C107">
        <v>18</v>
      </c>
      <c r="D107" t="s">
        <v>112</v>
      </c>
    </row>
    <row r="108" spans="1:4" x14ac:dyDescent="0.25">
      <c r="A108">
        <v>107</v>
      </c>
      <c r="B108">
        <v>28</v>
      </c>
      <c r="C108">
        <v>33</v>
      </c>
      <c r="D108" t="s">
        <v>114</v>
      </c>
    </row>
    <row r="109" spans="1:4" x14ac:dyDescent="0.25">
      <c r="A109">
        <v>108</v>
      </c>
      <c r="B109">
        <v>28</v>
      </c>
      <c r="C109">
        <v>36</v>
      </c>
      <c r="D109" t="s">
        <v>114</v>
      </c>
    </row>
    <row r="110" spans="1:4" x14ac:dyDescent="0.25">
      <c r="A110">
        <v>109</v>
      </c>
      <c r="B110">
        <v>29</v>
      </c>
      <c r="C110">
        <v>13</v>
      </c>
      <c r="D110" t="s">
        <v>112</v>
      </c>
    </row>
    <row r="111" spans="1:4" x14ac:dyDescent="0.25">
      <c r="A111">
        <v>110</v>
      </c>
      <c r="B111">
        <v>29</v>
      </c>
      <c r="C111">
        <v>32</v>
      </c>
      <c r="D111" t="s">
        <v>112</v>
      </c>
    </row>
    <row r="112" spans="1:4" x14ac:dyDescent="0.25">
      <c r="A112">
        <v>111</v>
      </c>
      <c r="B112">
        <v>29</v>
      </c>
      <c r="C112">
        <v>26</v>
      </c>
      <c r="D112" t="s">
        <v>112</v>
      </c>
    </row>
    <row r="113" spans="1:4" x14ac:dyDescent="0.25">
      <c r="A113">
        <v>112</v>
      </c>
      <c r="B113">
        <v>29</v>
      </c>
      <c r="C113">
        <v>36</v>
      </c>
      <c r="D113" t="s">
        <v>114</v>
      </c>
    </row>
    <row r="114" spans="1:4" x14ac:dyDescent="0.25">
      <c r="A114">
        <v>113</v>
      </c>
      <c r="B114">
        <v>29</v>
      </c>
      <c r="C114">
        <v>33</v>
      </c>
      <c r="D114" t="s">
        <v>114</v>
      </c>
    </row>
    <row r="115" spans="1:4" x14ac:dyDescent="0.25">
      <c r="A115">
        <v>114</v>
      </c>
      <c r="B115">
        <v>30</v>
      </c>
      <c r="C115">
        <v>9</v>
      </c>
      <c r="D115" t="s">
        <v>112</v>
      </c>
    </row>
    <row r="116" spans="1:4" x14ac:dyDescent="0.25">
      <c r="A116">
        <v>115</v>
      </c>
      <c r="B116">
        <v>30</v>
      </c>
      <c r="C116">
        <v>36</v>
      </c>
      <c r="D116" t="s">
        <v>114</v>
      </c>
    </row>
    <row r="117" spans="1:4" x14ac:dyDescent="0.25">
      <c r="A117">
        <v>116</v>
      </c>
      <c r="B117">
        <v>30</v>
      </c>
      <c r="C117">
        <v>35</v>
      </c>
      <c r="D117" t="s">
        <v>114</v>
      </c>
    </row>
    <row r="118" spans="1:4" x14ac:dyDescent="0.25">
      <c r="A118">
        <v>117</v>
      </c>
      <c r="B118">
        <v>31</v>
      </c>
      <c r="C118">
        <v>31</v>
      </c>
      <c r="D118" t="s">
        <v>112</v>
      </c>
    </row>
    <row r="119" spans="1:4" x14ac:dyDescent="0.25">
      <c r="A119">
        <v>118</v>
      </c>
      <c r="B119">
        <v>31</v>
      </c>
      <c r="C119">
        <v>32</v>
      </c>
      <c r="D119" t="s">
        <v>112</v>
      </c>
    </row>
    <row r="120" spans="1:4" x14ac:dyDescent="0.25">
      <c r="A120">
        <v>119</v>
      </c>
      <c r="B120">
        <v>31</v>
      </c>
      <c r="C120">
        <v>35</v>
      </c>
      <c r="D120" t="s">
        <v>114</v>
      </c>
    </row>
    <row r="121" spans="1:4" x14ac:dyDescent="0.25">
      <c r="A121">
        <v>120</v>
      </c>
      <c r="B121">
        <v>31</v>
      </c>
      <c r="C121">
        <v>36</v>
      </c>
      <c r="D121" t="s">
        <v>114</v>
      </c>
    </row>
    <row r="122" spans="1:4" x14ac:dyDescent="0.25">
      <c r="A122">
        <v>121</v>
      </c>
      <c r="B122">
        <v>32</v>
      </c>
      <c r="C122">
        <v>13</v>
      </c>
      <c r="D122" t="s">
        <v>112</v>
      </c>
    </row>
    <row r="123" spans="1:4" x14ac:dyDescent="0.25">
      <c r="A123">
        <v>122</v>
      </c>
      <c r="B123">
        <v>32</v>
      </c>
      <c r="C123">
        <v>33</v>
      </c>
      <c r="D123" t="s">
        <v>114</v>
      </c>
    </row>
    <row r="124" spans="1:4" x14ac:dyDescent="0.25">
      <c r="A124">
        <v>123</v>
      </c>
      <c r="B124">
        <v>32</v>
      </c>
      <c r="C124">
        <v>35</v>
      </c>
      <c r="D124" t="s">
        <v>114</v>
      </c>
    </row>
    <row r="125" spans="1:4" x14ac:dyDescent="0.25">
      <c r="A125">
        <v>124</v>
      </c>
      <c r="B125">
        <v>33</v>
      </c>
      <c r="C125">
        <v>9</v>
      </c>
      <c r="D125" t="s">
        <v>112</v>
      </c>
    </row>
    <row r="126" spans="1:4" x14ac:dyDescent="0.25">
      <c r="A126">
        <v>125</v>
      </c>
      <c r="B126">
        <v>33</v>
      </c>
      <c r="C126">
        <v>29</v>
      </c>
      <c r="D126" t="s">
        <v>112</v>
      </c>
    </row>
    <row r="127" spans="1:4" x14ac:dyDescent="0.25">
      <c r="A127">
        <v>126</v>
      </c>
      <c r="B127">
        <v>33</v>
      </c>
      <c r="C127">
        <v>21</v>
      </c>
      <c r="D127" t="s">
        <v>112</v>
      </c>
    </row>
    <row r="128" spans="1:4" x14ac:dyDescent="0.25">
      <c r="A128">
        <v>127</v>
      </c>
      <c r="B128">
        <v>33</v>
      </c>
      <c r="C128">
        <v>35</v>
      </c>
      <c r="D128" t="s">
        <v>114</v>
      </c>
    </row>
    <row r="129" spans="1:4" x14ac:dyDescent="0.25">
      <c r="A129">
        <v>128</v>
      </c>
      <c r="B129">
        <v>34</v>
      </c>
      <c r="C129">
        <v>5</v>
      </c>
      <c r="D129" t="s">
        <v>112</v>
      </c>
    </row>
    <row r="130" spans="1:4" x14ac:dyDescent="0.25">
      <c r="A130">
        <v>129</v>
      </c>
      <c r="B130">
        <v>34</v>
      </c>
      <c r="C130">
        <v>7</v>
      </c>
      <c r="D130" t="s">
        <v>112</v>
      </c>
    </row>
    <row r="131" spans="1:4" x14ac:dyDescent="0.25">
      <c r="A131">
        <v>130</v>
      </c>
      <c r="B131">
        <v>34</v>
      </c>
      <c r="C131">
        <v>35</v>
      </c>
      <c r="D131" t="s">
        <v>114</v>
      </c>
    </row>
    <row r="132" spans="1:4" x14ac:dyDescent="0.25">
      <c r="A132">
        <v>131</v>
      </c>
      <c r="B132">
        <v>34</v>
      </c>
      <c r="C132">
        <v>33</v>
      </c>
      <c r="D132" t="s">
        <v>114</v>
      </c>
    </row>
    <row r="133" spans="1:4" x14ac:dyDescent="0.25">
      <c r="A133">
        <v>132</v>
      </c>
      <c r="B133">
        <v>35</v>
      </c>
      <c r="C133">
        <v>6</v>
      </c>
      <c r="D133" t="s">
        <v>112</v>
      </c>
    </row>
    <row r="134" spans="1:4" x14ac:dyDescent="0.25">
      <c r="A134">
        <v>133</v>
      </c>
      <c r="B134">
        <v>35</v>
      </c>
      <c r="C134">
        <v>36</v>
      </c>
      <c r="D134" t="s">
        <v>114</v>
      </c>
    </row>
    <row r="135" spans="1:4" x14ac:dyDescent="0.25">
      <c r="A135">
        <v>134</v>
      </c>
      <c r="B135">
        <v>36</v>
      </c>
      <c r="C135">
        <v>14</v>
      </c>
      <c r="D135" t="s">
        <v>112</v>
      </c>
    </row>
    <row r="136" spans="1:4" x14ac:dyDescent="0.25">
      <c r="A136">
        <v>135</v>
      </c>
      <c r="B136">
        <v>36</v>
      </c>
      <c r="C136">
        <v>33</v>
      </c>
      <c r="D136" t="s">
        <v>114</v>
      </c>
    </row>
    <row r="137" spans="1:4" x14ac:dyDescent="0.25">
      <c r="A137">
        <v>136</v>
      </c>
      <c r="B137">
        <v>37</v>
      </c>
      <c r="C137">
        <v>32</v>
      </c>
      <c r="D137" t="s">
        <v>112</v>
      </c>
    </row>
    <row r="138" spans="1:4" x14ac:dyDescent="0.25">
      <c r="A138">
        <v>137</v>
      </c>
      <c r="B138">
        <v>37</v>
      </c>
      <c r="C138">
        <v>35</v>
      </c>
      <c r="D138" t="s">
        <v>114</v>
      </c>
    </row>
    <row r="139" spans="1:4" x14ac:dyDescent="0.25">
      <c r="A139">
        <v>138</v>
      </c>
      <c r="B139">
        <v>37</v>
      </c>
      <c r="C139">
        <v>36</v>
      </c>
      <c r="D139" t="s">
        <v>114</v>
      </c>
    </row>
    <row r="140" spans="1:4" x14ac:dyDescent="0.25">
      <c r="A140">
        <v>139</v>
      </c>
      <c r="B140">
        <v>38</v>
      </c>
      <c r="C140">
        <v>34</v>
      </c>
      <c r="D140" t="s">
        <v>112</v>
      </c>
    </row>
    <row r="141" spans="1:4" x14ac:dyDescent="0.25">
      <c r="A141">
        <v>140</v>
      </c>
      <c r="B141">
        <v>38</v>
      </c>
      <c r="C141">
        <v>35</v>
      </c>
      <c r="D141" t="s">
        <v>114</v>
      </c>
    </row>
    <row r="142" spans="1:4" x14ac:dyDescent="0.25">
      <c r="A142">
        <v>141</v>
      </c>
      <c r="B142">
        <v>39</v>
      </c>
      <c r="C142">
        <v>29</v>
      </c>
      <c r="D142" t="s">
        <v>112</v>
      </c>
    </row>
    <row r="143" spans="1:4" x14ac:dyDescent="0.25">
      <c r="A143">
        <v>142</v>
      </c>
      <c r="B143">
        <v>39</v>
      </c>
      <c r="C143">
        <v>15</v>
      </c>
      <c r="D143" t="s">
        <v>112</v>
      </c>
    </row>
    <row r="144" spans="1:4" x14ac:dyDescent="0.25">
      <c r="A144">
        <v>143</v>
      </c>
      <c r="B144">
        <v>39</v>
      </c>
      <c r="C144">
        <v>4</v>
      </c>
      <c r="D144" t="s">
        <v>112</v>
      </c>
    </row>
    <row r="145" spans="1:4" x14ac:dyDescent="0.25">
      <c r="A145">
        <v>144</v>
      </c>
      <c r="B145">
        <v>39</v>
      </c>
      <c r="C145">
        <v>36</v>
      </c>
      <c r="D145" t="s">
        <v>114</v>
      </c>
    </row>
    <row r="146" spans="1:4" x14ac:dyDescent="0.25">
      <c r="A146">
        <v>145</v>
      </c>
      <c r="B146">
        <v>39</v>
      </c>
      <c r="C146">
        <v>35</v>
      </c>
      <c r="D146" t="s">
        <v>114</v>
      </c>
    </row>
    <row r="147" spans="1:4" x14ac:dyDescent="0.25">
      <c r="A147">
        <v>146</v>
      </c>
      <c r="B147">
        <v>40</v>
      </c>
      <c r="C147">
        <v>17</v>
      </c>
      <c r="D147" t="s">
        <v>112</v>
      </c>
    </row>
    <row r="148" spans="1:4" x14ac:dyDescent="0.25">
      <c r="A148">
        <v>147</v>
      </c>
      <c r="B148">
        <v>40</v>
      </c>
      <c r="C148">
        <v>20</v>
      </c>
      <c r="D148" t="s">
        <v>112</v>
      </c>
    </row>
    <row r="149" spans="1:4" x14ac:dyDescent="0.25">
      <c r="A149">
        <v>148</v>
      </c>
      <c r="B149">
        <v>40</v>
      </c>
      <c r="C149">
        <v>36</v>
      </c>
      <c r="D149" t="s">
        <v>114</v>
      </c>
    </row>
    <row r="150" spans="1:4" x14ac:dyDescent="0.25">
      <c r="A150">
        <v>149</v>
      </c>
      <c r="B150">
        <v>40</v>
      </c>
      <c r="C150">
        <v>33</v>
      </c>
      <c r="D150" t="s">
        <v>114</v>
      </c>
    </row>
    <row r="151" spans="1:4" x14ac:dyDescent="0.25">
      <c r="A151">
        <v>150</v>
      </c>
      <c r="B151">
        <v>41</v>
      </c>
      <c r="C151">
        <v>3</v>
      </c>
      <c r="D151" t="s">
        <v>112</v>
      </c>
    </row>
    <row r="152" spans="1:4" x14ac:dyDescent="0.25">
      <c r="A152">
        <v>151</v>
      </c>
      <c r="B152">
        <v>41</v>
      </c>
      <c r="C152">
        <v>13</v>
      </c>
      <c r="D152" t="s">
        <v>112</v>
      </c>
    </row>
    <row r="153" spans="1:4" x14ac:dyDescent="0.25">
      <c r="A153">
        <v>152</v>
      </c>
      <c r="B153">
        <v>41</v>
      </c>
      <c r="C153">
        <v>29</v>
      </c>
      <c r="D153" t="s">
        <v>112</v>
      </c>
    </row>
    <row r="154" spans="1:4" x14ac:dyDescent="0.25">
      <c r="A154">
        <v>153</v>
      </c>
      <c r="B154">
        <v>41</v>
      </c>
      <c r="C154">
        <v>36</v>
      </c>
      <c r="D154" t="s">
        <v>114</v>
      </c>
    </row>
    <row r="155" spans="1:4" x14ac:dyDescent="0.25">
      <c r="A155">
        <v>154</v>
      </c>
      <c r="B155">
        <v>42</v>
      </c>
      <c r="C155">
        <v>7</v>
      </c>
      <c r="D155" t="s">
        <v>112</v>
      </c>
    </row>
    <row r="156" spans="1:4" x14ac:dyDescent="0.25">
      <c r="A156">
        <v>155</v>
      </c>
      <c r="B156">
        <v>42</v>
      </c>
      <c r="C156">
        <v>18</v>
      </c>
      <c r="D156" t="s">
        <v>112</v>
      </c>
    </row>
    <row r="157" spans="1:4" x14ac:dyDescent="0.25">
      <c r="A157">
        <v>156</v>
      </c>
      <c r="B157">
        <v>42</v>
      </c>
      <c r="C157">
        <v>35</v>
      </c>
      <c r="D157" t="s">
        <v>114</v>
      </c>
    </row>
    <row r="158" spans="1:4" x14ac:dyDescent="0.25">
      <c r="A158">
        <v>157</v>
      </c>
      <c r="B158">
        <v>42</v>
      </c>
      <c r="C158">
        <v>33</v>
      </c>
      <c r="D158" t="s">
        <v>114</v>
      </c>
    </row>
    <row r="159" spans="1:4" x14ac:dyDescent="0.25">
      <c r="A159">
        <v>158</v>
      </c>
      <c r="B159">
        <v>43</v>
      </c>
      <c r="C159">
        <v>13</v>
      </c>
      <c r="D159" t="s">
        <v>112</v>
      </c>
    </row>
    <row r="160" spans="1:4" x14ac:dyDescent="0.25">
      <c r="A160">
        <v>159</v>
      </c>
      <c r="B160">
        <v>43</v>
      </c>
      <c r="C160">
        <v>35</v>
      </c>
      <c r="D160" t="s">
        <v>114</v>
      </c>
    </row>
    <row r="161" spans="1:4" x14ac:dyDescent="0.25">
      <c r="A161">
        <v>160</v>
      </c>
      <c r="B161">
        <v>43</v>
      </c>
      <c r="C161">
        <v>36</v>
      </c>
      <c r="D161" t="s">
        <v>114</v>
      </c>
    </row>
    <row r="162" spans="1:4" x14ac:dyDescent="0.25">
      <c r="A162">
        <v>161</v>
      </c>
      <c r="B162">
        <v>44</v>
      </c>
      <c r="C162">
        <v>6</v>
      </c>
      <c r="D162" t="s">
        <v>112</v>
      </c>
    </row>
    <row r="163" spans="1:4" x14ac:dyDescent="0.25">
      <c r="A163">
        <v>162</v>
      </c>
      <c r="B163">
        <v>44</v>
      </c>
      <c r="C163">
        <v>27</v>
      </c>
      <c r="D163" t="s">
        <v>112</v>
      </c>
    </row>
    <row r="164" spans="1:4" x14ac:dyDescent="0.25">
      <c r="A164">
        <v>163</v>
      </c>
      <c r="B164">
        <v>44</v>
      </c>
      <c r="C164">
        <v>34</v>
      </c>
      <c r="D164" t="s">
        <v>112</v>
      </c>
    </row>
    <row r="165" spans="1:4" x14ac:dyDescent="0.25">
      <c r="A165">
        <v>164</v>
      </c>
      <c r="B165">
        <v>44</v>
      </c>
      <c r="C165">
        <v>36</v>
      </c>
      <c r="D165" t="s">
        <v>114</v>
      </c>
    </row>
    <row r="166" spans="1:4" x14ac:dyDescent="0.25">
      <c r="A166">
        <v>165</v>
      </c>
      <c r="B166">
        <v>45</v>
      </c>
      <c r="C166">
        <v>15</v>
      </c>
      <c r="D166" t="s">
        <v>112</v>
      </c>
    </row>
    <row r="167" spans="1:4" x14ac:dyDescent="0.25">
      <c r="A167">
        <v>166</v>
      </c>
      <c r="B167">
        <v>45</v>
      </c>
      <c r="C167">
        <v>12</v>
      </c>
      <c r="D167" t="s">
        <v>112</v>
      </c>
    </row>
    <row r="168" spans="1:4" x14ac:dyDescent="0.25">
      <c r="A168">
        <v>167</v>
      </c>
      <c r="B168">
        <v>45</v>
      </c>
      <c r="C168">
        <v>36</v>
      </c>
      <c r="D168" t="s">
        <v>114</v>
      </c>
    </row>
    <row r="169" spans="1:4" x14ac:dyDescent="0.25">
      <c r="A169">
        <v>168</v>
      </c>
      <c r="B169">
        <v>46</v>
      </c>
      <c r="C169">
        <v>11</v>
      </c>
      <c r="D169" t="s">
        <v>112</v>
      </c>
    </row>
    <row r="170" spans="1:4" x14ac:dyDescent="0.25">
      <c r="A170">
        <v>169</v>
      </c>
      <c r="B170">
        <v>46</v>
      </c>
      <c r="C170">
        <v>6</v>
      </c>
      <c r="D170" t="s">
        <v>112</v>
      </c>
    </row>
    <row r="171" spans="1:4" x14ac:dyDescent="0.25">
      <c r="A171">
        <v>170</v>
      </c>
      <c r="B171">
        <v>46</v>
      </c>
      <c r="C171">
        <v>15</v>
      </c>
      <c r="D171" t="s">
        <v>112</v>
      </c>
    </row>
    <row r="172" spans="1:4" x14ac:dyDescent="0.25">
      <c r="A172">
        <v>171</v>
      </c>
      <c r="B172">
        <v>46</v>
      </c>
      <c r="C172">
        <v>22</v>
      </c>
      <c r="D172" t="s">
        <v>112</v>
      </c>
    </row>
    <row r="173" spans="1:4" x14ac:dyDescent="0.25">
      <c r="A173">
        <v>172</v>
      </c>
      <c r="B173">
        <v>46</v>
      </c>
      <c r="C173">
        <v>36</v>
      </c>
      <c r="D173" t="s">
        <v>114</v>
      </c>
    </row>
    <row r="174" spans="1:4" x14ac:dyDescent="0.25">
      <c r="A174">
        <v>173</v>
      </c>
      <c r="B174">
        <v>47</v>
      </c>
      <c r="C174">
        <v>34</v>
      </c>
      <c r="D174" t="s">
        <v>112</v>
      </c>
    </row>
    <row r="175" spans="1:4" x14ac:dyDescent="0.25">
      <c r="A175">
        <v>174</v>
      </c>
      <c r="B175">
        <v>47</v>
      </c>
      <c r="C175">
        <v>36</v>
      </c>
      <c r="D175" t="s">
        <v>114</v>
      </c>
    </row>
    <row r="176" spans="1:4" x14ac:dyDescent="0.25">
      <c r="A176">
        <v>175</v>
      </c>
      <c r="B176">
        <v>48</v>
      </c>
      <c r="C176">
        <v>8</v>
      </c>
      <c r="D176" t="s">
        <v>112</v>
      </c>
    </row>
    <row r="177" spans="1:4" x14ac:dyDescent="0.25">
      <c r="A177">
        <v>176</v>
      </c>
      <c r="B177">
        <v>48</v>
      </c>
      <c r="C177">
        <v>36</v>
      </c>
      <c r="D177" t="s">
        <v>114</v>
      </c>
    </row>
    <row r="178" spans="1:4" x14ac:dyDescent="0.25">
      <c r="A178">
        <v>177</v>
      </c>
      <c r="B178">
        <v>48</v>
      </c>
      <c r="C178">
        <v>35</v>
      </c>
      <c r="D178" t="s">
        <v>114</v>
      </c>
    </row>
    <row r="179" spans="1:4" x14ac:dyDescent="0.25">
      <c r="A179">
        <v>178</v>
      </c>
      <c r="B179">
        <v>49</v>
      </c>
      <c r="C179">
        <v>29</v>
      </c>
      <c r="D179" t="s">
        <v>112</v>
      </c>
    </row>
    <row r="180" spans="1:4" x14ac:dyDescent="0.25">
      <c r="A180">
        <v>179</v>
      </c>
      <c r="B180">
        <v>49</v>
      </c>
      <c r="C180">
        <v>35</v>
      </c>
      <c r="D180" t="s">
        <v>114</v>
      </c>
    </row>
    <row r="181" spans="1:4" x14ac:dyDescent="0.25">
      <c r="A181">
        <v>180</v>
      </c>
      <c r="B181">
        <v>49</v>
      </c>
      <c r="C181">
        <v>33</v>
      </c>
      <c r="D181" t="s">
        <v>114</v>
      </c>
    </row>
    <row r="182" spans="1:4" x14ac:dyDescent="0.25">
      <c r="A182">
        <v>181</v>
      </c>
      <c r="B182">
        <v>50</v>
      </c>
      <c r="C182">
        <v>22</v>
      </c>
      <c r="D182" t="s">
        <v>112</v>
      </c>
    </row>
    <row r="183" spans="1:4" x14ac:dyDescent="0.25">
      <c r="A183">
        <v>182</v>
      </c>
      <c r="B183">
        <v>50</v>
      </c>
      <c r="C183">
        <v>27</v>
      </c>
      <c r="D183" t="s">
        <v>112</v>
      </c>
    </row>
    <row r="184" spans="1:4" x14ac:dyDescent="0.25">
      <c r="A184">
        <v>183</v>
      </c>
      <c r="B184">
        <v>50</v>
      </c>
      <c r="C184">
        <v>7</v>
      </c>
      <c r="D184" t="s">
        <v>112</v>
      </c>
    </row>
    <row r="185" spans="1:4" x14ac:dyDescent="0.25">
      <c r="A185">
        <v>184</v>
      </c>
      <c r="B185">
        <v>50</v>
      </c>
      <c r="C185">
        <v>35</v>
      </c>
      <c r="D185" t="s">
        <v>114</v>
      </c>
    </row>
    <row r="186" spans="1:4" x14ac:dyDescent="0.25">
      <c r="A186">
        <v>185</v>
      </c>
      <c r="B186">
        <v>51</v>
      </c>
      <c r="C186">
        <v>6</v>
      </c>
      <c r="D186" t="s">
        <v>112</v>
      </c>
    </row>
    <row r="187" spans="1:4" x14ac:dyDescent="0.25">
      <c r="A187">
        <v>186</v>
      </c>
      <c r="B187">
        <v>51</v>
      </c>
      <c r="C187">
        <v>11</v>
      </c>
      <c r="D187" t="s">
        <v>112</v>
      </c>
    </row>
    <row r="188" spans="1:4" x14ac:dyDescent="0.25">
      <c r="A188">
        <v>187</v>
      </c>
      <c r="B188">
        <v>51</v>
      </c>
      <c r="C188">
        <v>35</v>
      </c>
      <c r="D188" t="s">
        <v>114</v>
      </c>
    </row>
    <row r="189" spans="1:4" x14ac:dyDescent="0.25">
      <c r="A189">
        <v>188</v>
      </c>
      <c r="B189">
        <v>51</v>
      </c>
      <c r="C189">
        <v>33</v>
      </c>
      <c r="D189" t="s">
        <v>114</v>
      </c>
    </row>
    <row r="190" spans="1:4" x14ac:dyDescent="0.25">
      <c r="A190">
        <v>189</v>
      </c>
      <c r="B190">
        <v>52</v>
      </c>
      <c r="C190">
        <v>23</v>
      </c>
      <c r="D190" t="s">
        <v>112</v>
      </c>
    </row>
    <row r="191" spans="1:4" x14ac:dyDescent="0.25">
      <c r="A191">
        <v>190</v>
      </c>
      <c r="B191">
        <v>52</v>
      </c>
      <c r="C191">
        <v>28</v>
      </c>
      <c r="D191" t="s">
        <v>112</v>
      </c>
    </row>
    <row r="192" spans="1:4" x14ac:dyDescent="0.25">
      <c r="A192">
        <v>191</v>
      </c>
      <c r="B192">
        <v>52</v>
      </c>
      <c r="C192">
        <v>12</v>
      </c>
      <c r="D192" t="s">
        <v>112</v>
      </c>
    </row>
    <row r="193" spans="1:4" x14ac:dyDescent="0.25">
      <c r="A193">
        <v>192</v>
      </c>
      <c r="B193">
        <v>52</v>
      </c>
      <c r="C193">
        <v>35</v>
      </c>
      <c r="D193" t="s">
        <v>114</v>
      </c>
    </row>
    <row r="194" spans="1:4" x14ac:dyDescent="0.25">
      <c r="A194">
        <v>193</v>
      </c>
      <c r="B194">
        <v>52</v>
      </c>
      <c r="C194">
        <v>33</v>
      </c>
      <c r="D194" t="s">
        <v>114</v>
      </c>
    </row>
    <row r="195" spans="1:4" x14ac:dyDescent="0.25">
      <c r="A195">
        <v>194</v>
      </c>
      <c r="B195">
        <v>53</v>
      </c>
      <c r="C195">
        <v>12</v>
      </c>
      <c r="D195" t="s">
        <v>112</v>
      </c>
    </row>
    <row r="196" spans="1:4" x14ac:dyDescent="0.25">
      <c r="A196">
        <v>195</v>
      </c>
      <c r="B196">
        <v>53</v>
      </c>
      <c r="C196">
        <v>33</v>
      </c>
      <c r="D196" t="s">
        <v>112</v>
      </c>
    </row>
    <row r="197" spans="1:4" x14ac:dyDescent="0.25">
      <c r="A197">
        <v>196</v>
      </c>
      <c r="B197">
        <v>53</v>
      </c>
      <c r="C197">
        <v>20</v>
      </c>
      <c r="D197" t="s">
        <v>112</v>
      </c>
    </row>
    <row r="198" spans="1:4" x14ac:dyDescent="0.25">
      <c r="A198">
        <v>197</v>
      </c>
      <c r="B198">
        <v>53</v>
      </c>
      <c r="C198">
        <v>13</v>
      </c>
      <c r="D198" t="s">
        <v>112</v>
      </c>
    </row>
    <row r="199" spans="1:4" x14ac:dyDescent="0.25">
      <c r="A199">
        <v>198</v>
      </c>
      <c r="B199">
        <v>53</v>
      </c>
      <c r="C199">
        <v>36</v>
      </c>
      <c r="D199" t="s">
        <v>114</v>
      </c>
    </row>
    <row r="200" spans="1:4" x14ac:dyDescent="0.25">
      <c r="A200">
        <v>199</v>
      </c>
      <c r="B200">
        <v>54</v>
      </c>
      <c r="C200">
        <v>2</v>
      </c>
      <c r="D200" t="s">
        <v>112</v>
      </c>
    </row>
    <row r="201" spans="1:4" x14ac:dyDescent="0.25">
      <c r="A201">
        <v>200</v>
      </c>
      <c r="B201">
        <v>54</v>
      </c>
      <c r="C201">
        <v>31</v>
      </c>
      <c r="D201" t="s">
        <v>112</v>
      </c>
    </row>
    <row r="202" spans="1:4" x14ac:dyDescent="0.25">
      <c r="A202">
        <v>201</v>
      </c>
      <c r="B202">
        <v>54</v>
      </c>
      <c r="C202">
        <v>33</v>
      </c>
      <c r="D202" t="s">
        <v>114</v>
      </c>
    </row>
    <row r="203" spans="1:4" x14ac:dyDescent="0.25">
      <c r="A203">
        <v>202</v>
      </c>
      <c r="B203">
        <v>54</v>
      </c>
      <c r="C203">
        <v>36</v>
      </c>
      <c r="D203" t="s">
        <v>114</v>
      </c>
    </row>
    <row r="204" spans="1:4" x14ac:dyDescent="0.25">
      <c r="A204">
        <v>203</v>
      </c>
      <c r="B204">
        <v>55</v>
      </c>
      <c r="C204">
        <v>22</v>
      </c>
      <c r="D204" t="s">
        <v>112</v>
      </c>
    </row>
    <row r="205" spans="1:4" x14ac:dyDescent="0.25">
      <c r="A205">
        <v>204</v>
      </c>
      <c r="B205">
        <v>55</v>
      </c>
      <c r="C205">
        <v>36</v>
      </c>
      <c r="D205" t="s">
        <v>114</v>
      </c>
    </row>
    <row r="206" spans="1:4" x14ac:dyDescent="0.25">
      <c r="A206">
        <v>205</v>
      </c>
      <c r="B206">
        <v>56</v>
      </c>
      <c r="C206">
        <v>11</v>
      </c>
      <c r="D206" t="s">
        <v>112</v>
      </c>
    </row>
    <row r="207" spans="1:4" x14ac:dyDescent="0.25">
      <c r="A207">
        <v>206</v>
      </c>
      <c r="B207">
        <v>56</v>
      </c>
      <c r="C207">
        <v>4</v>
      </c>
      <c r="D207" t="s">
        <v>112</v>
      </c>
    </row>
    <row r="208" spans="1:4" x14ac:dyDescent="0.25">
      <c r="A208">
        <v>207</v>
      </c>
      <c r="B208">
        <v>56</v>
      </c>
      <c r="C208">
        <v>36</v>
      </c>
      <c r="D208" t="s">
        <v>114</v>
      </c>
    </row>
    <row r="209" spans="1:4" x14ac:dyDescent="0.25">
      <c r="A209">
        <v>208</v>
      </c>
      <c r="B209">
        <v>56</v>
      </c>
      <c r="C209">
        <v>33</v>
      </c>
      <c r="D209" t="s">
        <v>114</v>
      </c>
    </row>
    <row r="210" spans="1:4" x14ac:dyDescent="0.25">
      <c r="A210">
        <v>209</v>
      </c>
      <c r="B210">
        <v>57</v>
      </c>
      <c r="C210">
        <v>34</v>
      </c>
      <c r="D210" t="s">
        <v>112</v>
      </c>
    </row>
    <row r="211" spans="1:4" x14ac:dyDescent="0.25">
      <c r="A211">
        <v>210</v>
      </c>
      <c r="B211">
        <v>57</v>
      </c>
      <c r="C211">
        <v>5</v>
      </c>
      <c r="D211" t="s">
        <v>112</v>
      </c>
    </row>
    <row r="212" spans="1:4" x14ac:dyDescent="0.25">
      <c r="A212">
        <v>211</v>
      </c>
      <c r="B212">
        <v>57</v>
      </c>
      <c r="C212">
        <v>33</v>
      </c>
      <c r="D212" t="s">
        <v>114</v>
      </c>
    </row>
    <row r="213" spans="1:4" x14ac:dyDescent="0.25">
      <c r="A213">
        <v>212</v>
      </c>
      <c r="B213">
        <v>58</v>
      </c>
      <c r="C213">
        <v>31</v>
      </c>
      <c r="D213" t="s">
        <v>112</v>
      </c>
    </row>
    <row r="214" spans="1:4" x14ac:dyDescent="0.25">
      <c r="A214">
        <v>213</v>
      </c>
      <c r="B214">
        <v>58</v>
      </c>
      <c r="C214">
        <v>35</v>
      </c>
      <c r="D214" t="s">
        <v>114</v>
      </c>
    </row>
    <row r="215" spans="1:4" x14ac:dyDescent="0.25">
      <c r="A215">
        <v>214</v>
      </c>
      <c r="B215">
        <v>58</v>
      </c>
      <c r="C215">
        <v>33</v>
      </c>
      <c r="D215" t="s">
        <v>114</v>
      </c>
    </row>
    <row r="216" spans="1:4" x14ac:dyDescent="0.25">
      <c r="A216">
        <v>215</v>
      </c>
      <c r="B216">
        <v>59</v>
      </c>
      <c r="C216">
        <v>15</v>
      </c>
      <c r="D216" t="s">
        <v>112</v>
      </c>
    </row>
    <row r="217" spans="1:4" x14ac:dyDescent="0.25">
      <c r="A217">
        <v>216</v>
      </c>
      <c r="B217">
        <v>59</v>
      </c>
      <c r="C217">
        <v>33</v>
      </c>
      <c r="D217" t="s">
        <v>114</v>
      </c>
    </row>
    <row r="218" spans="1:4" x14ac:dyDescent="0.25">
      <c r="A218">
        <v>217</v>
      </c>
      <c r="B218">
        <v>60</v>
      </c>
      <c r="C218">
        <v>21</v>
      </c>
      <c r="D218" t="s">
        <v>112</v>
      </c>
    </row>
    <row r="219" spans="1:4" x14ac:dyDescent="0.25">
      <c r="A219">
        <v>218</v>
      </c>
      <c r="B219">
        <v>60</v>
      </c>
      <c r="C219">
        <v>33</v>
      </c>
      <c r="D219" t="s">
        <v>114</v>
      </c>
    </row>
    <row r="220" spans="1:4" x14ac:dyDescent="0.25">
      <c r="A220">
        <v>219</v>
      </c>
      <c r="B220">
        <v>60</v>
      </c>
      <c r="C220">
        <v>35</v>
      </c>
      <c r="D220" t="s">
        <v>114</v>
      </c>
    </row>
    <row r="221" spans="1:4" x14ac:dyDescent="0.25">
      <c r="A221">
        <v>220</v>
      </c>
      <c r="B221">
        <v>61</v>
      </c>
      <c r="C221">
        <v>19</v>
      </c>
      <c r="D221" t="s">
        <v>112</v>
      </c>
    </row>
    <row r="222" spans="1:4" x14ac:dyDescent="0.25">
      <c r="A222">
        <v>221</v>
      </c>
      <c r="B222">
        <v>61</v>
      </c>
      <c r="C222">
        <v>28</v>
      </c>
      <c r="D222" t="s">
        <v>112</v>
      </c>
    </row>
    <row r="223" spans="1:4" x14ac:dyDescent="0.25">
      <c r="A223">
        <v>222</v>
      </c>
      <c r="B223">
        <v>61</v>
      </c>
      <c r="C223">
        <v>33</v>
      </c>
      <c r="D223" t="s">
        <v>114</v>
      </c>
    </row>
    <row r="224" spans="1:4" x14ac:dyDescent="0.25">
      <c r="A224">
        <v>223</v>
      </c>
      <c r="B224">
        <v>61</v>
      </c>
      <c r="C224">
        <v>35</v>
      </c>
      <c r="D224" t="s">
        <v>114</v>
      </c>
    </row>
    <row r="225" spans="1:4" x14ac:dyDescent="0.25">
      <c r="A225">
        <v>224</v>
      </c>
      <c r="B225">
        <v>62</v>
      </c>
      <c r="C225">
        <v>19</v>
      </c>
      <c r="D225" t="s">
        <v>112</v>
      </c>
    </row>
    <row r="226" spans="1:4" x14ac:dyDescent="0.25">
      <c r="A226">
        <v>225</v>
      </c>
      <c r="B226">
        <v>62</v>
      </c>
      <c r="C226">
        <v>36</v>
      </c>
      <c r="D226" t="s">
        <v>114</v>
      </c>
    </row>
    <row r="227" spans="1:4" x14ac:dyDescent="0.25">
      <c r="A227">
        <v>226</v>
      </c>
      <c r="B227">
        <v>63</v>
      </c>
      <c r="C227">
        <v>10</v>
      </c>
      <c r="D227" t="s">
        <v>112</v>
      </c>
    </row>
    <row r="228" spans="1:4" x14ac:dyDescent="0.25">
      <c r="A228">
        <v>227</v>
      </c>
      <c r="B228">
        <v>63</v>
      </c>
      <c r="C228">
        <v>24</v>
      </c>
      <c r="D228" t="s">
        <v>112</v>
      </c>
    </row>
    <row r="229" spans="1:4" x14ac:dyDescent="0.25">
      <c r="A229">
        <v>228</v>
      </c>
      <c r="B229">
        <v>63</v>
      </c>
      <c r="C229">
        <v>7</v>
      </c>
      <c r="D229" t="s">
        <v>112</v>
      </c>
    </row>
    <row r="230" spans="1:4" x14ac:dyDescent="0.25">
      <c r="A230">
        <v>229</v>
      </c>
      <c r="B230">
        <v>63</v>
      </c>
      <c r="C230">
        <v>35</v>
      </c>
      <c r="D230" t="s">
        <v>114</v>
      </c>
    </row>
    <row r="231" spans="1:4" x14ac:dyDescent="0.25">
      <c r="A231">
        <v>230</v>
      </c>
      <c r="B231">
        <v>63</v>
      </c>
      <c r="C231">
        <v>33</v>
      </c>
      <c r="D231" t="s">
        <v>114</v>
      </c>
    </row>
    <row r="232" spans="1:4" x14ac:dyDescent="0.25">
      <c r="A232">
        <v>231</v>
      </c>
      <c r="B232">
        <v>64</v>
      </c>
      <c r="C232">
        <v>2</v>
      </c>
      <c r="D232" t="s">
        <v>112</v>
      </c>
    </row>
    <row r="233" spans="1:4" x14ac:dyDescent="0.25">
      <c r="A233">
        <v>232</v>
      </c>
      <c r="B233">
        <v>64</v>
      </c>
      <c r="C233">
        <v>7</v>
      </c>
      <c r="D233" t="s">
        <v>112</v>
      </c>
    </row>
    <row r="234" spans="1:4" x14ac:dyDescent="0.25">
      <c r="A234">
        <v>233</v>
      </c>
      <c r="B234">
        <v>64</v>
      </c>
      <c r="C234">
        <v>35</v>
      </c>
      <c r="D234" t="s">
        <v>114</v>
      </c>
    </row>
    <row r="235" spans="1:4" x14ac:dyDescent="0.25">
      <c r="A235">
        <v>234</v>
      </c>
      <c r="B235">
        <v>65</v>
      </c>
      <c r="C235">
        <v>31</v>
      </c>
      <c r="D235" t="s">
        <v>112</v>
      </c>
    </row>
    <row r="236" spans="1:4" x14ac:dyDescent="0.25">
      <c r="A236">
        <v>235</v>
      </c>
      <c r="B236">
        <v>65</v>
      </c>
      <c r="C236">
        <v>18</v>
      </c>
      <c r="D236" t="s">
        <v>112</v>
      </c>
    </row>
    <row r="237" spans="1:4" x14ac:dyDescent="0.25">
      <c r="A237">
        <v>236</v>
      </c>
      <c r="B237">
        <v>65</v>
      </c>
      <c r="C237">
        <v>36</v>
      </c>
      <c r="D237" t="s">
        <v>114</v>
      </c>
    </row>
    <row r="238" spans="1:4" x14ac:dyDescent="0.25">
      <c r="A238">
        <v>237</v>
      </c>
      <c r="B238">
        <v>65</v>
      </c>
      <c r="C238">
        <v>33</v>
      </c>
      <c r="D238" t="s">
        <v>114</v>
      </c>
    </row>
    <row r="239" spans="1:4" x14ac:dyDescent="0.25">
      <c r="A239">
        <v>238</v>
      </c>
      <c r="B239">
        <v>66</v>
      </c>
      <c r="C239">
        <v>3</v>
      </c>
      <c r="D239" t="s">
        <v>112</v>
      </c>
    </row>
    <row r="240" spans="1:4" x14ac:dyDescent="0.25">
      <c r="A240">
        <v>239</v>
      </c>
      <c r="B240">
        <v>66</v>
      </c>
      <c r="C240">
        <v>35</v>
      </c>
      <c r="D240" t="s">
        <v>114</v>
      </c>
    </row>
    <row r="241" spans="1:4" x14ac:dyDescent="0.25">
      <c r="A241">
        <v>240</v>
      </c>
      <c r="B241">
        <v>66</v>
      </c>
      <c r="C241">
        <v>36</v>
      </c>
      <c r="D241" t="s">
        <v>114</v>
      </c>
    </row>
    <row r="242" spans="1:4" x14ac:dyDescent="0.25">
      <c r="A242">
        <v>241</v>
      </c>
      <c r="B242">
        <v>67</v>
      </c>
      <c r="C242">
        <v>16</v>
      </c>
      <c r="D242" t="s">
        <v>112</v>
      </c>
    </row>
    <row r="243" spans="1:4" x14ac:dyDescent="0.25">
      <c r="A243">
        <v>242</v>
      </c>
      <c r="B243">
        <v>67</v>
      </c>
      <c r="C243">
        <v>36</v>
      </c>
      <c r="D243" t="s">
        <v>114</v>
      </c>
    </row>
    <row r="244" spans="1:4" x14ac:dyDescent="0.25">
      <c r="A244">
        <v>243</v>
      </c>
      <c r="B244">
        <v>68</v>
      </c>
      <c r="C244">
        <v>29</v>
      </c>
      <c r="D244" t="s">
        <v>112</v>
      </c>
    </row>
    <row r="245" spans="1:4" x14ac:dyDescent="0.25">
      <c r="A245">
        <v>244</v>
      </c>
      <c r="B245">
        <v>68</v>
      </c>
      <c r="C245">
        <v>35</v>
      </c>
      <c r="D245" t="s">
        <v>114</v>
      </c>
    </row>
    <row r="246" spans="1:4" x14ac:dyDescent="0.25">
      <c r="A246">
        <v>245</v>
      </c>
      <c r="B246">
        <v>68</v>
      </c>
      <c r="C246">
        <v>33</v>
      </c>
      <c r="D246" t="s">
        <v>114</v>
      </c>
    </row>
    <row r="247" spans="1:4" x14ac:dyDescent="0.25">
      <c r="A247">
        <v>246</v>
      </c>
      <c r="B247">
        <v>69</v>
      </c>
      <c r="C247">
        <v>28</v>
      </c>
      <c r="D247" t="s">
        <v>112</v>
      </c>
    </row>
    <row r="248" spans="1:4" x14ac:dyDescent="0.25">
      <c r="A248">
        <v>247</v>
      </c>
      <c r="B248">
        <v>69</v>
      </c>
      <c r="C248">
        <v>9</v>
      </c>
      <c r="D248" t="s">
        <v>112</v>
      </c>
    </row>
    <row r="249" spans="1:4" x14ac:dyDescent="0.25">
      <c r="A249">
        <v>248</v>
      </c>
      <c r="B249">
        <v>69</v>
      </c>
      <c r="C249">
        <v>2</v>
      </c>
      <c r="D249" t="s">
        <v>112</v>
      </c>
    </row>
    <row r="250" spans="1:4" x14ac:dyDescent="0.25">
      <c r="A250">
        <v>249</v>
      </c>
      <c r="B250">
        <v>69</v>
      </c>
      <c r="C250">
        <v>35</v>
      </c>
      <c r="D250" t="s">
        <v>114</v>
      </c>
    </row>
    <row r="251" spans="1:4" x14ac:dyDescent="0.25">
      <c r="A251">
        <v>250</v>
      </c>
      <c r="B251">
        <v>70</v>
      </c>
      <c r="C251">
        <v>37</v>
      </c>
      <c r="D251" t="s">
        <v>112</v>
      </c>
    </row>
    <row r="252" spans="1:4" x14ac:dyDescent="0.25">
      <c r="A252">
        <v>251</v>
      </c>
      <c r="B252">
        <v>70</v>
      </c>
      <c r="C252">
        <v>12</v>
      </c>
      <c r="D252" t="s">
        <v>112</v>
      </c>
    </row>
    <row r="253" spans="1:4" x14ac:dyDescent="0.25">
      <c r="A253">
        <v>252</v>
      </c>
      <c r="B253">
        <v>70</v>
      </c>
      <c r="C253">
        <v>33</v>
      </c>
      <c r="D253" t="s">
        <v>114</v>
      </c>
    </row>
    <row r="254" spans="1:4" x14ac:dyDescent="0.25">
      <c r="A254">
        <v>253</v>
      </c>
      <c r="B254">
        <v>71</v>
      </c>
      <c r="C254">
        <v>15</v>
      </c>
      <c r="D254" t="s">
        <v>112</v>
      </c>
    </row>
    <row r="255" spans="1:4" x14ac:dyDescent="0.25">
      <c r="A255">
        <v>254</v>
      </c>
      <c r="B255">
        <v>71</v>
      </c>
      <c r="C255">
        <v>28</v>
      </c>
      <c r="D255" t="s">
        <v>112</v>
      </c>
    </row>
    <row r="256" spans="1:4" x14ac:dyDescent="0.25">
      <c r="A256">
        <v>255</v>
      </c>
      <c r="B256">
        <v>71</v>
      </c>
      <c r="C256">
        <v>36</v>
      </c>
      <c r="D256" t="s">
        <v>114</v>
      </c>
    </row>
    <row r="257" spans="1:4" x14ac:dyDescent="0.25">
      <c r="A257">
        <v>256</v>
      </c>
      <c r="B257">
        <v>72</v>
      </c>
      <c r="C257">
        <v>25</v>
      </c>
      <c r="D257" t="s">
        <v>112</v>
      </c>
    </row>
    <row r="258" spans="1:4" x14ac:dyDescent="0.25">
      <c r="A258">
        <v>257</v>
      </c>
      <c r="B258">
        <v>72</v>
      </c>
      <c r="C258">
        <v>24</v>
      </c>
      <c r="D258" t="s">
        <v>112</v>
      </c>
    </row>
    <row r="259" spans="1:4" x14ac:dyDescent="0.25">
      <c r="A259">
        <v>258</v>
      </c>
      <c r="B259">
        <v>72</v>
      </c>
      <c r="C259">
        <v>34</v>
      </c>
      <c r="D259" t="s">
        <v>112</v>
      </c>
    </row>
    <row r="260" spans="1:4" x14ac:dyDescent="0.25">
      <c r="A260">
        <v>259</v>
      </c>
      <c r="B260">
        <v>72</v>
      </c>
      <c r="C260">
        <v>10</v>
      </c>
      <c r="D260" t="s">
        <v>112</v>
      </c>
    </row>
    <row r="261" spans="1:4" x14ac:dyDescent="0.25">
      <c r="A261">
        <v>260</v>
      </c>
      <c r="B261">
        <v>72</v>
      </c>
      <c r="C261">
        <v>33</v>
      </c>
      <c r="D261" t="s">
        <v>114</v>
      </c>
    </row>
    <row r="262" spans="1:4" x14ac:dyDescent="0.25">
      <c r="A262">
        <v>261</v>
      </c>
      <c r="B262">
        <v>72</v>
      </c>
      <c r="C262">
        <v>35</v>
      </c>
      <c r="D262" t="s">
        <v>114</v>
      </c>
    </row>
    <row r="263" spans="1:4" x14ac:dyDescent="0.25">
      <c r="A263">
        <v>262</v>
      </c>
      <c r="B263">
        <v>73</v>
      </c>
      <c r="C263">
        <v>9</v>
      </c>
      <c r="D263" t="s">
        <v>112</v>
      </c>
    </row>
    <row r="264" spans="1:4" x14ac:dyDescent="0.25">
      <c r="A264">
        <v>263</v>
      </c>
      <c r="B264">
        <v>73</v>
      </c>
      <c r="C264">
        <v>35</v>
      </c>
      <c r="D264" t="s">
        <v>114</v>
      </c>
    </row>
    <row r="265" spans="1:4" x14ac:dyDescent="0.25">
      <c r="A265">
        <v>264</v>
      </c>
      <c r="B265">
        <v>74</v>
      </c>
      <c r="C265">
        <v>34</v>
      </c>
      <c r="D265" t="s">
        <v>112</v>
      </c>
    </row>
    <row r="266" spans="1:4" x14ac:dyDescent="0.25">
      <c r="A266">
        <v>265</v>
      </c>
      <c r="B266">
        <v>74</v>
      </c>
      <c r="C266">
        <v>27</v>
      </c>
      <c r="D266" t="s">
        <v>112</v>
      </c>
    </row>
    <row r="267" spans="1:4" x14ac:dyDescent="0.25">
      <c r="A267">
        <v>266</v>
      </c>
      <c r="B267">
        <v>74</v>
      </c>
      <c r="C267">
        <v>36</v>
      </c>
      <c r="D267" t="s">
        <v>114</v>
      </c>
    </row>
    <row r="268" spans="1:4" x14ac:dyDescent="0.25">
      <c r="A268">
        <v>267</v>
      </c>
      <c r="B268">
        <v>75</v>
      </c>
      <c r="C268">
        <v>12</v>
      </c>
      <c r="D268" t="s">
        <v>112</v>
      </c>
    </row>
    <row r="269" spans="1:4" x14ac:dyDescent="0.25">
      <c r="A269">
        <v>268</v>
      </c>
      <c r="B269">
        <v>75</v>
      </c>
      <c r="C269">
        <v>1</v>
      </c>
      <c r="D269" t="s">
        <v>112</v>
      </c>
    </row>
    <row r="270" spans="1:4" x14ac:dyDescent="0.25">
      <c r="A270">
        <v>269</v>
      </c>
      <c r="B270">
        <v>75</v>
      </c>
      <c r="C270">
        <v>16</v>
      </c>
      <c r="D270" t="s">
        <v>112</v>
      </c>
    </row>
    <row r="271" spans="1:4" x14ac:dyDescent="0.25">
      <c r="A271">
        <v>270</v>
      </c>
      <c r="B271">
        <v>75</v>
      </c>
      <c r="C271">
        <v>3</v>
      </c>
      <c r="D271" t="s">
        <v>112</v>
      </c>
    </row>
    <row r="272" spans="1:4" x14ac:dyDescent="0.25">
      <c r="A272">
        <v>271</v>
      </c>
      <c r="B272">
        <v>75</v>
      </c>
      <c r="C272">
        <v>35</v>
      </c>
      <c r="D272" t="s">
        <v>114</v>
      </c>
    </row>
    <row r="273" spans="1:4" x14ac:dyDescent="0.25">
      <c r="A273">
        <v>272</v>
      </c>
      <c r="B273">
        <v>76</v>
      </c>
      <c r="C273">
        <v>14</v>
      </c>
      <c r="D273" t="s">
        <v>112</v>
      </c>
    </row>
    <row r="274" spans="1:4" x14ac:dyDescent="0.25">
      <c r="A274">
        <v>273</v>
      </c>
      <c r="B274">
        <v>76</v>
      </c>
      <c r="C274">
        <v>37</v>
      </c>
      <c r="D274" t="s">
        <v>112</v>
      </c>
    </row>
    <row r="275" spans="1:4" x14ac:dyDescent="0.25">
      <c r="A275">
        <v>274</v>
      </c>
      <c r="B275">
        <v>76</v>
      </c>
      <c r="C275">
        <v>17</v>
      </c>
      <c r="D275" t="s">
        <v>112</v>
      </c>
    </row>
    <row r="276" spans="1:4" x14ac:dyDescent="0.25">
      <c r="A276">
        <v>275</v>
      </c>
      <c r="B276">
        <v>76</v>
      </c>
      <c r="C276">
        <v>36</v>
      </c>
      <c r="D276" t="s">
        <v>114</v>
      </c>
    </row>
    <row r="277" spans="1:4" x14ac:dyDescent="0.25">
      <c r="A277">
        <v>276</v>
      </c>
      <c r="B277">
        <v>77</v>
      </c>
      <c r="C277">
        <v>19</v>
      </c>
      <c r="D277" t="s">
        <v>112</v>
      </c>
    </row>
    <row r="278" spans="1:4" x14ac:dyDescent="0.25">
      <c r="A278">
        <v>277</v>
      </c>
      <c r="B278">
        <v>77</v>
      </c>
      <c r="C278">
        <v>11</v>
      </c>
      <c r="D278" t="s">
        <v>112</v>
      </c>
    </row>
    <row r="279" spans="1:4" x14ac:dyDescent="0.25">
      <c r="A279">
        <v>278</v>
      </c>
      <c r="B279">
        <v>77</v>
      </c>
      <c r="C279">
        <v>20</v>
      </c>
      <c r="D279" t="s">
        <v>112</v>
      </c>
    </row>
    <row r="280" spans="1:4" x14ac:dyDescent="0.25">
      <c r="A280">
        <v>279</v>
      </c>
      <c r="B280">
        <v>77</v>
      </c>
      <c r="C280">
        <v>2</v>
      </c>
      <c r="D280" t="s">
        <v>112</v>
      </c>
    </row>
    <row r="281" spans="1:4" x14ac:dyDescent="0.25">
      <c r="A281">
        <v>280</v>
      </c>
      <c r="B281">
        <v>77</v>
      </c>
      <c r="C281">
        <v>36</v>
      </c>
      <c r="D281" t="s">
        <v>114</v>
      </c>
    </row>
    <row r="282" spans="1:4" x14ac:dyDescent="0.25">
      <c r="A282">
        <v>281</v>
      </c>
      <c r="B282">
        <v>77</v>
      </c>
      <c r="C282">
        <v>33</v>
      </c>
      <c r="D282" t="s">
        <v>114</v>
      </c>
    </row>
    <row r="283" spans="1:4" x14ac:dyDescent="0.25">
      <c r="A283">
        <v>282</v>
      </c>
      <c r="B283">
        <v>78</v>
      </c>
      <c r="C283">
        <v>31</v>
      </c>
      <c r="D283" t="s">
        <v>112</v>
      </c>
    </row>
    <row r="284" spans="1:4" x14ac:dyDescent="0.25">
      <c r="A284">
        <v>283</v>
      </c>
      <c r="B284">
        <v>78</v>
      </c>
      <c r="C284">
        <v>26</v>
      </c>
      <c r="D284" t="s">
        <v>112</v>
      </c>
    </row>
    <row r="285" spans="1:4" x14ac:dyDescent="0.25">
      <c r="A285">
        <v>284</v>
      </c>
      <c r="B285">
        <v>78</v>
      </c>
      <c r="C285">
        <v>30</v>
      </c>
      <c r="D285" t="s">
        <v>112</v>
      </c>
    </row>
    <row r="286" spans="1:4" x14ac:dyDescent="0.25">
      <c r="A286">
        <v>285</v>
      </c>
      <c r="B286">
        <v>78</v>
      </c>
      <c r="C286">
        <v>33</v>
      </c>
      <c r="D286" t="s">
        <v>114</v>
      </c>
    </row>
    <row r="287" spans="1:4" x14ac:dyDescent="0.25">
      <c r="A287">
        <v>286</v>
      </c>
      <c r="B287">
        <v>71</v>
      </c>
      <c r="C287">
        <v>5</v>
      </c>
      <c r="D287" t="s">
        <v>112</v>
      </c>
    </row>
    <row r="288" spans="1:4" x14ac:dyDescent="0.25">
      <c r="A288">
        <v>287</v>
      </c>
      <c r="B288">
        <v>71</v>
      </c>
      <c r="C288">
        <v>35</v>
      </c>
      <c r="D288" t="s">
        <v>114</v>
      </c>
    </row>
    <row r="289" spans="1:4" x14ac:dyDescent="0.25">
      <c r="A289">
        <v>288</v>
      </c>
      <c r="B289">
        <v>72</v>
      </c>
      <c r="C289">
        <v>18</v>
      </c>
      <c r="D289" t="s">
        <v>112</v>
      </c>
    </row>
    <row r="290" spans="1:4" x14ac:dyDescent="0.25">
      <c r="A290">
        <v>289</v>
      </c>
      <c r="B290">
        <v>72</v>
      </c>
      <c r="C290">
        <v>4</v>
      </c>
      <c r="D290" t="s">
        <v>112</v>
      </c>
    </row>
    <row r="291" spans="1:4" x14ac:dyDescent="0.25">
      <c r="A291">
        <v>290</v>
      </c>
      <c r="B291">
        <v>72</v>
      </c>
      <c r="C291">
        <v>17</v>
      </c>
      <c r="D291" t="s">
        <v>112</v>
      </c>
    </row>
    <row r="292" spans="1:4" x14ac:dyDescent="0.25">
      <c r="A292">
        <v>291</v>
      </c>
      <c r="B292">
        <v>72</v>
      </c>
      <c r="C292">
        <v>33</v>
      </c>
      <c r="D292" t="s">
        <v>114</v>
      </c>
    </row>
    <row r="293" spans="1:4" x14ac:dyDescent="0.25">
      <c r="A293">
        <v>292</v>
      </c>
      <c r="B293">
        <v>72</v>
      </c>
      <c r="C293">
        <v>35</v>
      </c>
      <c r="D293" t="s">
        <v>114</v>
      </c>
    </row>
    <row r="294" spans="1:4" x14ac:dyDescent="0.25">
      <c r="A294">
        <v>293</v>
      </c>
      <c r="B294">
        <v>73</v>
      </c>
      <c r="C294">
        <v>31</v>
      </c>
      <c r="D294" t="s">
        <v>112</v>
      </c>
    </row>
    <row r="295" spans="1:4" x14ac:dyDescent="0.25">
      <c r="A295">
        <v>294</v>
      </c>
      <c r="B295">
        <v>73</v>
      </c>
      <c r="C295">
        <v>33</v>
      </c>
      <c r="D295" t="s">
        <v>112</v>
      </c>
    </row>
    <row r="296" spans="1:4" x14ac:dyDescent="0.25">
      <c r="A296">
        <v>295</v>
      </c>
      <c r="B296">
        <v>73</v>
      </c>
      <c r="C296">
        <v>36</v>
      </c>
      <c r="D296" t="s">
        <v>114</v>
      </c>
    </row>
    <row r="297" spans="1:4" x14ac:dyDescent="0.25">
      <c r="A297">
        <v>296</v>
      </c>
      <c r="B297">
        <v>74</v>
      </c>
      <c r="C297">
        <v>18</v>
      </c>
      <c r="D297" t="s">
        <v>112</v>
      </c>
    </row>
    <row r="298" spans="1:4" x14ac:dyDescent="0.25">
      <c r="A298">
        <v>297</v>
      </c>
      <c r="B298">
        <v>74</v>
      </c>
      <c r="C298">
        <v>14</v>
      </c>
      <c r="D298" t="s">
        <v>112</v>
      </c>
    </row>
    <row r="299" spans="1:4" x14ac:dyDescent="0.25">
      <c r="A299">
        <v>298</v>
      </c>
      <c r="B299">
        <v>74</v>
      </c>
      <c r="C299">
        <v>15</v>
      </c>
      <c r="D299" t="s">
        <v>112</v>
      </c>
    </row>
    <row r="300" spans="1:4" x14ac:dyDescent="0.25">
      <c r="A300">
        <v>299</v>
      </c>
      <c r="B300">
        <v>74</v>
      </c>
      <c r="C300">
        <v>13</v>
      </c>
      <c r="D300" t="s">
        <v>112</v>
      </c>
    </row>
    <row r="301" spans="1:4" x14ac:dyDescent="0.25">
      <c r="A301">
        <v>300</v>
      </c>
      <c r="B301">
        <v>74</v>
      </c>
      <c r="C301">
        <v>33</v>
      </c>
      <c r="D301" t="s">
        <v>114</v>
      </c>
    </row>
    <row r="302" spans="1:4" x14ac:dyDescent="0.25">
      <c r="A302">
        <v>301</v>
      </c>
      <c r="B302">
        <v>74</v>
      </c>
      <c r="C302">
        <v>35</v>
      </c>
      <c r="D302" t="s">
        <v>114</v>
      </c>
    </row>
    <row r="303" spans="1:4" x14ac:dyDescent="0.25">
      <c r="A303">
        <v>302</v>
      </c>
      <c r="B303">
        <v>75</v>
      </c>
      <c r="C303">
        <v>25</v>
      </c>
      <c r="D303" t="s">
        <v>112</v>
      </c>
    </row>
    <row r="304" spans="1:4" x14ac:dyDescent="0.25">
      <c r="A304">
        <v>303</v>
      </c>
      <c r="B304">
        <v>75</v>
      </c>
      <c r="C304">
        <v>31</v>
      </c>
      <c r="D304" t="s">
        <v>112</v>
      </c>
    </row>
    <row r="305" spans="1:4" x14ac:dyDescent="0.25">
      <c r="A305">
        <v>304</v>
      </c>
      <c r="B305">
        <v>75</v>
      </c>
      <c r="C305">
        <v>36</v>
      </c>
      <c r="D305" t="s">
        <v>114</v>
      </c>
    </row>
    <row r="306" spans="1:4" x14ac:dyDescent="0.25">
      <c r="A306">
        <v>305</v>
      </c>
      <c r="B306">
        <v>76</v>
      </c>
      <c r="C306">
        <v>32</v>
      </c>
      <c r="D306" t="s">
        <v>112</v>
      </c>
    </row>
    <row r="307" spans="1:4" x14ac:dyDescent="0.25">
      <c r="A307">
        <v>306</v>
      </c>
      <c r="B307">
        <v>76</v>
      </c>
      <c r="C307">
        <v>15</v>
      </c>
      <c r="D307" t="s">
        <v>112</v>
      </c>
    </row>
    <row r="308" spans="1:4" x14ac:dyDescent="0.25">
      <c r="A308">
        <v>307</v>
      </c>
      <c r="B308">
        <v>76</v>
      </c>
      <c r="C308">
        <v>33</v>
      </c>
      <c r="D308" t="s">
        <v>114</v>
      </c>
    </row>
    <row r="309" spans="1:4" x14ac:dyDescent="0.25">
      <c r="A309">
        <v>308</v>
      </c>
      <c r="B309">
        <v>76</v>
      </c>
      <c r="C309">
        <v>35</v>
      </c>
      <c r="D309" t="s">
        <v>114</v>
      </c>
    </row>
    <row r="310" spans="1:4" x14ac:dyDescent="0.25">
      <c r="A310">
        <v>309</v>
      </c>
      <c r="B310">
        <v>77</v>
      </c>
      <c r="C310">
        <v>18</v>
      </c>
      <c r="D310" t="s">
        <v>112</v>
      </c>
    </row>
    <row r="311" spans="1:4" x14ac:dyDescent="0.25">
      <c r="A311">
        <v>310</v>
      </c>
      <c r="B311">
        <v>77</v>
      </c>
      <c r="C311">
        <v>36</v>
      </c>
      <c r="D311" t="s">
        <v>114</v>
      </c>
    </row>
    <row r="312" spans="1:4" x14ac:dyDescent="0.25">
      <c r="A312">
        <v>311</v>
      </c>
      <c r="B312">
        <v>77</v>
      </c>
      <c r="C312">
        <v>35</v>
      </c>
      <c r="D312" t="s">
        <v>114</v>
      </c>
    </row>
    <row r="313" spans="1:4" x14ac:dyDescent="0.25">
      <c r="A313">
        <v>312</v>
      </c>
      <c r="B313">
        <v>78</v>
      </c>
      <c r="C313">
        <v>22</v>
      </c>
      <c r="D313" t="s">
        <v>112</v>
      </c>
    </row>
    <row r="314" spans="1:4" x14ac:dyDescent="0.25">
      <c r="A314">
        <v>313</v>
      </c>
      <c r="B314">
        <v>78</v>
      </c>
      <c r="C314">
        <v>34</v>
      </c>
      <c r="D314" t="s">
        <v>112</v>
      </c>
    </row>
    <row r="315" spans="1:4" x14ac:dyDescent="0.25">
      <c r="A315">
        <v>314</v>
      </c>
      <c r="B315">
        <v>78</v>
      </c>
      <c r="C315">
        <v>32</v>
      </c>
      <c r="D315" t="s">
        <v>112</v>
      </c>
    </row>
    <row r="316" spans="1:4" x14ac:dyDescent="0.25">
      <c r="A316">
        <v>315</v>
      </c>
      <c r="B316">
        <v>78</v>
      </c>
      <c r="C316">
        <v>35</v>
      </c>
      <c r="D316" t="s">
        <v>114</v>
      </c>
    </row>
    <row r="317" spans="1:4" x14ac:dyDescent="0.25">
      <c r="A317">
        <v>316</v>
      </c>
      <c r="B317">
        <v>78</v>
      </c>
      <c r="C317">
        <v>36</v>
      </c>
      <c r="D317" t="s">
        <v>114</v>
      </c>
    </row>
    <row r="318" spans="1:4" x14ac:dyDescent="0.25">
      <c r="A318">
        <v>317</v>
      </c>
      <c r="B318">
        <v>78</v>
      </c>
      <c r="C318">
        <v>17</v>
      </c>
      <c r="D318" t="s">
        <v>112</v>
      </c>
    </row>
    <row r="319" spans="1:4" x14ac:dyDescent="0.25">
      <c r="A319">
        <v>318</v>
      </c>
      <c r="B319">
        <v>78</v>
      </c>
      <c r="C319">
        <v>12</v>
      </c>
      <c r="D319" t="s">
        <v>112</v>
      </c>
    </row>
    <row r="320" spans="1:4" x14ac:dyDescent="0.25">
      <c r="A320">
        <v>319</v>
      </c>
      <c r="B320">
        <v>78</v>
      </c>
      <c r="C320">
        <v>3</v>
      </c>
      <c r="D320" t="s">
        <v>112</v>
      </c>
    </row>
    <row r="321" spans="1:4" x14ac:dyDescent="0.25">
      <c r="A321">
        <v>320</v>
      </c>
      <c r="B321">
        <v>78</v>
      </c>
      <c r="C321">
        <v>36</v>
      </c>
      <c r="D321" t="s">
        <v>114</v>
      </c>
    </row>
    <row r="322" spans="1:4" x14ac:dyDescent="0.25">
      <c r="A322">
        <v>321</v>
      </c>
      <c r="B322">
        <v>77</v>
      </c>
      <c r="C322">
        <v>33</v>
      </c>
      <c r="D322" t="s">
        <v>114</v>
      </c>
    </row>
    <row r="323" spans="1:4" x14ac:dyDescent="0.25">
      <c r="A323">
        <v>322</v>
      </c>
      <c r="B323">
        <v>78</v>
      </c>
      <c r="C323">
        <v>9</v>
      </c>
      <c r="D323" t="s">
        <v>112</v>
      </c>
    </row>
    <row r="324" spans="1:4" x14ac:dyDescent="0.25">
      <c r="A324">
        <v>323</v>
      </c>
      <c r="B324">
        <v>78</v>
      </c>
      <c r="C324">
        <v>32</v>
      </c>
      <c r="D324" t="s">
        <v>112</v>
      </c>
    </row>
    <row r="325" spans="1:4" x14ac:dyDescent="0.25">
      <c r="A325">
        <v>324</v>
      </c>
      <c r="B325">
        <v>78</v>
      </c>
      <c r="C325">
        <v>23</v>
      </c>
      <c r="D325" t="s">
        <v>112</v>
      </c>
    </row>
    <row r="326" spans="1:4" x14ac:dyDescent="0.25">
      <c r="A326">
        <v>325</v>
      </c>
      <c r="B326">
        <v>78</v>
      </c>
      <c r="C326">
        <v>8</v>
      </c>
      <c r="D326" t="s">
        <v>112</v>
      </c>
    </row>
    <row r="327" spans="1:4" x14ac:dyDescent="0.25">
      <c r="A327">
        <v>326</v>
      </c>
      <c r="B327">
        <v>78</v>
      </c>
      <c r="C327">
        <v>33</v>
      </c>
      <c r="D327" t="s">
        <v>114</v>
      </c>
    </row>
  </sheetData>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45"/>
  <sheetViews>
    <sheetView tabSelected="1" topLeftCell="A1217" workbookViewId="0">
      <selection activeCell="M1245" sqref="M1245"/>
    </sheetView>
  </sheetViews>
  <sheetFormatPr defaultRowHeight="15" x14ac:dyDescent="0.25"/>
  <cols>
    <col min="1" max="1" width="14.5703125" customWidth="1"/>
    <col min="2" max="2" width="15.5703125" customWidth="1"/>
    <col min="3" max="3" width="19.7109375" customWidth="1"/>
    <col min="4" max="4" width="20.140625" style="2" customWidth="1"/>
    <col min="5" max="5" width="14.42578125" customWidth="1"/>
    <col min="6" max="6" width="9.42578125" customWidth="1"/>
    <col min="7" max="7" width="10.140625" style="3" customWidth="1"/>
  </cols>
  <sheetData>
    <row r="1" spans="1:13" x14ac:dyDescent="0.25">
      <c r="A1" s="6" t="s">
        <v>0</v>
      </c>
      <c r="B1" s="6" t="s">
        <v>94</v>
      </c>
      <c r="C1" s="6" t="s">
        <v>95</v>
      </c>
      <c r="D1" s="6" t="s">
        <v>183</v>
      </c>
      <c r="E1" s="6" t="s">
        <v>184</v>
      </c>
      <c r="F1" s="6" t="s">
        <v>185</v>
      </c>
      <c r="G1" s="7" t="s">
        <v>186</v>
      </c>
      <c r="H1" s="6" t="s">
        <v>187</v>
      </c>
      <c r="I1" s="6" t="s">
        <v>188</v>
      </c>
      <c r="J1" s="6" t="s">
        <v>189</v>
      </c>
      <c r="K1" s="6" t="s">
        <v>191</v>
      </c>
      <c r="L1" s="6" t="s">
        <v>190</v>
      </c>
      <c r="M1" s="6" t="s">
        <v>192</v>
      </c>
    </row>
    <row r="2" spans="1:13" x14ac:dyDescent="0.25">
      <c r="A2">
        <v>1</v>
      </c>
      <c r="B2">
        <v>1</v>
      </c>
      <c r="C2">
        <v>8</v>
      </c>
      <c r="D2" s="2">
        <v>41709.495243055557</v>
      </c>
      <c r="E2" t="s">
        <v>179</v>
      </c>
      <c r="F2">
        <v>300</v>
      </c>
      <c r="G2" s="3">
        <v>1</v>
      </c>
      <c r="H2">
        <v>1681</v>
      </c>
      <c r="I2" t="s">
        <v>181</v>
      </c>
      <c r="J2">
        <v>20</v>
      </c>
      <c r="K2">
        <v>20</v>
      </c>
      <c r="L2">
        <v>1</v>
      </c>
      <c r="M2">
        <v>1</v>
      </c>
    </row>
    <row r="3" spans="1:13" x14ac:dyDescent="0.25">
      <c r="A3">
        <v>2</v>
      </c>
      <c r="B3">
        <v>2</v>
      </c>
      <c r="C3">
        <v>16</v>
      </c>
      <c r="D3" s="2">
        <v>41720.000219907408</v>
      </c>
      <c r="E3" t="s">
        <v>179</v>
      </c>
      <c r="F3">
        <v>90</v>
      </c>
      <c r="G3" s="3">
        <v>1</v>
      </c>
      <c r="H3">
        <v>1903</v>
      </c>
      <c r="I3" t="s">
        <v>181</v>
      </c>
      <c r="J3">
        <v>17</v>
      </c>
      <c r="K3">
        <v>16</v>
      </c>
      <c r="L3">
        <v>4</v>
      </c>
      <c r="M3">
        <v>5</v>
      </c>
    </row>
    <row r="4" spans="1:13" x14ac:dyDescent="0.25">
      <c r="A4">
        <v>3</v>
      </c>
      <c r="B4">
        <v>2</v>
      </c>
      <c r="C4">
        <v>13</v>
      </c>
      <c r="D4" s="2">
        <v>41714.941840277781</v>
      </c>
      <c r="E4" t="s">
        <v>179</v>
      </c>
      <c r="F4">
        <v>90</v>
      </c>
      <c r="G4" s="3">
        <v>2</v>
      </c>
      <c r="H4">
        <v>1794</v>
      </c>
      <c r="I4" t="s">
        <v>181</v>
      </c>
      <c r="J4">
        <v>20</v>
      </c>
      <c r="K4">
        <v>18</v>
      </c>
      <c r="L4">
        <v>1</v>
      </c>
      <c r="M4">
        <v>3</v>
      </c>
    </row>
    <row r="5" spans="1:13" x14ac:dyDescent="0.25">
      <c r="A5">
        <v>4</v>
      </c>
      <c r="B5">
        <v>2</v>
      </c>
      <c r="C5">
        <v>7</v>
      </c>
      <c r="D5" s="2">
        <v>41718.550324074073</v>
      </c>
      <c r="E5" t="s">
        <v>179</v>
      </c>
      <c r="F5">
        <v>300</v>
      </c>
      <c r="G5" s="3">
        <v>3</v>
      </c>
      <c r="H5">
        <v>1873</v>
      </c>
      <c r="I5" t="s">
        <v>181</v>
      </c>
      <c r="J5">
        <v>18</v>
      </c>
      <c r="K5">
        <v>20</v>
      </c>
      <c r="L5">
        <v>3</v>
      </c>
      <c r="M5">
        <v>1</v>
      </c>
    </row>
    <row r="6" spans="1:13" x14ac:dyDescent="0.25">
      <c r="A6">
        <v>5</v>
      </c>
      <c r="B6">
        <v>2</v>
      </c>
      <c r="C6">
        <v>14</v>
      </c>
      <c r="D6" s="2">
        <v>41719.188981481479</v>
      </c>
      <c r="E6" t="s">
        <v>179</v>
      </c>
      <c r="F6">
        <v>180</v>
      </c>
      <c r="G6" s="3">
        <v>4</v>
      </c>
      <c r="H6">
        <v>1952</v>
      </c>
      <c r="I6" t="s">
        <v>181</v>
      </c>
      <c r="J6">
        <v>16</v>
      </c>
      <c r="K6">
        <v>17</v>
      </c>
      <c r="L6">
        <v>5</v>
      </c>
      <c r="M6">
        <v>4</v>
      </c>
    </row>
    <row r="7" spans="1:13" x14ac:dyDescent="0.25">
      <c r="A7">
        <v>6</v>
      </c>
      <c r="B7">
        <v>2</v>
      </c>
      <c r="C7">
        <v>9</v>
      </c>
      <c r="D7" s="2">
        <v>41715.058391203704</v>
      </c>
      <c r="E7" t="s">
        <v>179</v>
      </c>
      <c r="F7">
        <v>150</v>
      </c>
      <c r="G7" s="3">
        <v>5</v>
      </c>
      <c r="H7">
        <v>1842</v>
      </c>
      <c r="I7" t="s">
        <v>181</v>
      </c>
      <c r="J7">
        <v>19</v>
      </c>
      <c r="K7">
        <v>19</v>
      </c>
      <c r="L7">
        <v>2</v>
      </c>
      <c r="M7">
        <v>2</v>
      </c>
    </row>
    <row r="8" spans="1:13" x14ac:dyDescent="0.25">
      <c r="A8">
        <v>7</v>
      </c>
      <c r="B8">
        <v>2</v>
      </c>
      <c r="C8">
        <v>31</v>
      </c>
      <c r="D8" s="2">
        <v>41717.666863425926</v>
      </c>
      <c r="E8" t="s">
        <v>179</v>
      </c>
      <c r="F8">
        <v>120</v>
      </c>
      <c r="G8" s="3">
        <v>6</v>
      </c>
      <c r="H8">
        <v>0</v>
      </c>
      <c r="I8" t="s">
        <v>182</v>
      </c>
      <c r="J8">
        <v>0</v>
      </c>
      <c r="K8">
        <v>0</v>
      </c>
      <c r="L8">
        <v>0</v>
      </c>
      <c r="M8">
        <v>0</v>
      </c>
    </row>
    <row r="9" spans="1:13" x14ac:dyDescent="0.25">
      <c r="A9">
        <v>8</v>
      </c>
      <c r="B9">
        <v>3</v>
      </c>
      <c r="C9">
        <v>8</v>
      </c>
      <c r="D9" s="2">
        <v>41739.937395833331</v>
      </c>
      <c r="E9" t="s">
        <v>179</v>
      </c>
      <c r="F9">
        <v>120</v>
      </c>
      <c r="G9" s="3">
        <v>1</v>
      </c>
      <c r="H9">
        <v>1533</v>
      </c>
      <c r="I9" t="s">
        <v>181</v>
      </c>
      <c r="J9">
        <v>13</v>
      </c>
      <c r="K9">
        <v>14</v>
      </c>
      <c r="L9">
        <v>8</v>
      </c>
      <c r="M9">
        <v>7</v>
      </c>
    </row>
    <row r="10" spans="1:13" x14ac:dyDescent="0.25">
      <c r="A10">
        <v>9</v>
      </c>
      <c r="B10">
        <v>3</v>
      </c>
      <c r="C10">
        <v>31</v>
      </c>
      <c r="D10" s="2">
        <v>41728.212812500002</v>
      </c>
      <c r="E10" t="s">
        <v>179</v>
      </c>
      <c r="F10">
        <v>120</v>
      </c>
      <c r="G10" s="3">
        <v>2</v>
      </c>
      <c r="H10">
        <v>1583</v>
      </c>
      <c r="I10" t="s">
        <v>181</v>
      </c>
      <c r="J10">
        <v>12</v>
      </c>
      <c r="K10">
        <v>11</v>
      </c>
      <c r="L10">
        <v>9</v>
      </c>
      <c r="M10">
        <v>10</v>
      </c>
    </row>
    <row r="11" spans="1:13" x14ac:dyDescent="0.25">
      <c r="A11">
        <v>10</v>
      </c>
      <c r="B11">
        <v>3</v>
      </c>
      <c r="C11">
        <v>4</v>
      </c>
      <c r="D11" s="2">
        <v>41743.791192129633</v>
      </c>
      <c r="E11" t="s">
        <v>179</v>
      </c>
      <c r="F11">
        <v>90</v>
      </c>
      <c r="G11" s="3">
        <v>3</v>
      </c>
      <c r="H11">
        <v>1633</v>
      </c>
      <c r="I11" t="s">
        <v>181</v>
      </c>
      <c r="J11">
        <v>9</v>
      </c>
      <c r="K11">
        <v>7</v>
      </c>
      <c r="L11">
        <v>12</v>
      </c>
      <c r="M11">
        <v>14</v>
      </c>
    </row>
    <row r="12" spans="1:13" x14ac:dyDescent="0.25">
      <c r="A12">
        <v>11</v>
      </c>
      <c r="B12">
        <v>3</v>
      </c>
      <c r="C12">
        <v>7</v>
      </c>
      <c r="D12" s="2">
        <v>41731.067997685182</v>
      </c>
      <c r="E12" t="s">
        <v>179</v>
      </c>
      <c r="F12">
        <v>150</v>
      </c>
      <c r="G12" s="3">
        <v>4</v>
      </c>
      <c r="H12">
        <v>1467</v>
      </c>
      <c r="I12" t="s">
        <v>181</v>
      </c>
      <c r="J12">
        <v>18</v>
      </c>
      <c r="K12">
        <v>16</v>
      </c>
      <c r="L12">
        <v>3</v>
      </c>
      <c r="M12">
        <v>5</v>
      </c>
    </row>
    <row r="13" spans="1:13" x14ac:dyDescent="0.25">
      <c r="A13">
        <v>12</v>
      </c>
      <c r="B13">
        <v>3</v>
      </c>
      <c r="C13">
        <v>12</v>
      </c>
      <c r="D13" s="2">
        <v>41746.604525462964</v>
      </c>
      <c r="E13" t="s">
        <v>179</v>
      </c>
      <c r="F13">
        <v>120</v>
      </c>
      <c r="G13" s="3">
        <v>5</v>
      </c>
      <c r="H13">
        <v>0</v>
      </c>
      <c r="I13" t="s">
        <v>180</v>
      </c>
      <c r="J13">
        <v>0</v>
      </c>
      <c r="K13">
        <v>0</v>
      </c>
      <c r="L13">
        <v>0</v>
      </c>
      <c r="M13">
        <v>0</v>
      </c>
    </row>
    <row r="14" spans="1:13" x14ac:dyDescent="0.25">
      <c r="A14">
        <v>13</v>
      </c>
      <c r="B14">
        <v>3</v>
      </c>
      <c r="C14">
        <v>20</v>
      </c>
      <c r="D14" s="2">
        <v>41723.920601851853</v>
      </c>
      <c r="E14" t="s">
        <v>179</v>
      </c>
      <c r="F14">
        <v>30</v>
      </c>
      <c r="G14" s="3">
        <v>6</v>
      </c>
      <c r="H14">
        <v>1489</v>
      </c>
      <c r="I14" t="s">
        <v>181</v>
      </c>
      <c r="J14">
        <v>15</v>
      </c>
      <c r="K14">
        <v>12</v>
      </c>
      <c r="L14">
        <v>6</v>
      </c>
      <c r="M14">
        <v>9</v>
      </c>
    </row>
    <row r="15" spans="1:13" x14ac:dyDescent="0.25">
      <c r="A15">
        <v>14</v>
      </c>
      <c r="B15">
        <v>3</v>
      </c>
      <c r="C15">
        <v>21</v>
      </c>
      <c r="D15" s="2">
        <v>41730.194594907407</v>
      </c>
      <c r="E15" t="s">
        <v>179</v>
      </c>
      <c r="F15">
        <v>270</v>
      </c>
      <c r="G15" s="3">
        <v>7</v>
      </c>
      <c r="H15">
        <v>1471</v>
      </c>
      <c r="I15" t="s">
        <v>181</v>
      </c>
      <c r="J15">
        <v>17</v>
      </c>
      <c r="K15">
        <v>19</v>
      </c>
      <c r="L15">
        <v>4</v>
      </c>
      <c r="M15">
        <v>2</v>
      </c>
    </row>
    <row r="16" spans="1:13" x14ac:dyDescent="0.25">
      <c r="A16">
        <v>15</v>
      </c>
      <c r="B16">
        <v>3</v>
      </c>
      <c r="C16">
        <v>13</v>
      </c>
      <c r="D16" s="2">
        <v>41736.426736111112</v>
      </c>
      <c r="E16" t="s">
        <v>179</v>
      </c>
      <c r="F16">
        <v>240</v>
      </c>
      <c r="G16" s="3">
        <v>8</v>
      </c>
      <c r="H16">
        <v>0</v>
      </c>
      <c r="I16" t="s">
        <v>180</v>
      </c>
      <c r="J16">
        <v>0</v>
      </c>
      <c r="K16">
        <v>0</v>
      </c>
      <c r="L16">
        <v>0</v>
      </c>
      <c r="M16">
        <v>0</v>
      </c>
    </row>
    <row r="17" spans="1:13" x14ac:dyDescent="0.25">
      <c r="A17">
        <v>16</v>
      </c>
      <c r="B17">
        <v>3</v>
      </c>
      <c r="C17">
        <v>10</v>
      </c>
      <c r="D17" s="2">
        <v>41730.119016203702</v>
      </c>
      <c r="E17" t="s">
        <v>179</v>
      </c>
      <c r="F17">
        <v>270</v>
      </c>
      <c r="G17" s="3">
        <v>9</v>
      </c>
      <c r="H17">
        <v>1635</v>
      </c>
      <c r="I17" t="s">
        <v>181</v>
      </c>
      <c r="J17">
        <v>8</v>
      </c>
      <c r="K17">
        <v>15</v>
      </c>
      <c r="L17">
        <v>13</v>
      </c>
      <c r="M17">
        <v>6</v>
      </c>
    </row>
    <row r="18" spans="1:13" x14ac:dyDescent="0.25">
      <c r="A18">
        <v>17</v>
      </c>
      <c r="B18">
        <v>3</v>
      </c>
      <c r="C18">
        <v>24</v>
      </c>
      <c r="D18" s="2">
        <v>41729.005277777775</v>
      </c>
      <c r="E18" t="s">
        <v>179</v>
      </c>
      <c r="F18">
        <v>90</v>
      </c>
      <c r="G18" s="3">
        <v>10</v>
      </c>
      <c r="H18">
        <v>0</v>
      </c>
      <c r="I18" t="s">
        <v>180</v>
      </c>
      <c r="J18">
        <v>0</v>
      </c>
      <c r="K18">
        <v>0</v>
      </c>
      <c r="L18">
        <v>0</v>
      </c>
      <c r="M18">
        <v>0</v>
      </c>
    </row>
    <row r="19" spans="1:13" x14ac:dyDescent="0.25">
      <c r="A19">
        <v>18</v>
      </c>
      <c r="B19">
        <v>3</v>
      </c>
      <c r="C19">
        <v>22</v>
      </c>
      <c r="D19" s="2">
        <v>41726.563159722224</v>
      </c>
      <c r="E19" t="s">
        <v>179</v>
      </c>
      <c r="F19">
        <v>90</v>
      </c>
      <c r="G19" s="3">
        <v>11</v>
      </c>
      <c r="H19">
        <v>1616</v>
      </c>
      <c r="I19" t="s">
        <v>181</v>
      </c>
      <c r="J19">
        <v>10</v>
      </c>
      <c r="K19">
        <v>8</v>
      </c>
      <c r="L19">
        <v>11</v>
      </c>
      <c r="M19">
        <v>13</v>
      </c>
    </row>
    <row r="20" spans="1:13" x14ac:dyDescent="0.25">
      <c r="A20">
        <v>19</v>
      </c>
      <c r="B20">
        <v>3</v>
      </c>
      <c r="C20">
        <v>6</v>
      </c>
      <c r="D20" s="2">
        <v>41723.186018518521</v>
      </c>
      <c r="E20" t="s">
        <v>179</v>
      </c>
      <c r="F20">
        <v>270</v>
      </c>
      <c r="G20" s="3">
        <v>12</v>
      </c>
      <c r="H20">
        <v>1461</v>
      </c>
      <c r="I20" t="s">
        <v>181</v>
      </c>
      <c r="J20">
        <v>19</v>
      </c>
      <c r="K20">
        <v>20</v>
      </c>
      <c r="L20">
        <v>2</v>
      </c>
      <c r="M20">
        <v>1</v>
      </c>
    </row>
    <row r="21" spans="1:13" x14ac:dyDescent="0.25">
      <c r="A21">
        <v>20</v>
      </c>
      <c r="B21">
        <v>3</v>
      </c>
      <c r="C21">
        <v>18</v>
      </c>
      <c r="D21" s="2">
        <v>41740.016504629632</v>
      </c>
      <c r="E21" t="s">
        <v>179</v>
      </c>
      <c r="F21">
        <v>30</v>
      </c>
      <c r="G21" s="3">
        <v>13</v>
      </c>
      <c r="H21">
        <v>1522</v>
      </c>
      <c r="I21" t="s">
        <v>181</v>
      </c>
      <c r="J21">
        <v>14</v>
      </c>
      <c r="K21">
        <v>10</v>
      </c>
      <c r="L21">
        <v>7</v>
      </c>
      <c r="M21">
        <v>11</v>
      </c>
    </row>
    <row r="22" spans="1:13" x14ac:dyDescent="0.25">
      <c r="A22">
        <v>21</v>
      </c>
      <c r="B22">
        <v>3</v>
      </c>
      <c r="C22">
        <v>28</v>
      </c>
      <c r="D22" s="2">
        <v>41737.65047453704</v>
      </c>
      <c r="E22" t="s">
        <v>179</v>
      </c>
      <c r="F22">
        <v>120</v>
      </c>
      <c r="G22" s="3">
        <v>14</v>
      </c>
      <c r="H22">
        <v>1640</v>
      </c>
      <c r="I22" t="s">
        <v>181</v>
      </c>
      <c r="J22">
        <v>7</v>
      </c>
      <c r="K22">
        <v>9</v>
      </c>
      <c r="L22">
        <v>14</v>
      </c>
      <c r="M22">
        <v>12</v>
      </c>
    </row>
    <row r="23" spans="1:13" x14ac:dyDescent="0.25">
      <c r="A23">
        <v>22</v>
      </c>
      <c r="B23">
        <v>3</v>
      </c>
      <c r="C23">
        <v>26</v>
      </c>
      <c r="D23" s="2">
        <v>41727.23097222222</v>
      </c>
      <c r="E23" t="s">
        <v>179</v>
      </c>
      <c r="F23">
        <v>180</v>
      </c>
      <c r="G23" s="3">
        <v>15</v>
      </c>
      <c r="H23">
        <v>1485</v>
      </c>
      <c r="I23" t="s">
        <v>181</v>
      </c>
      <c r="J23">
        <v>16</v>
      </c>
      <c r="K23">
        <v>17</v>
      </c>
      <c r="L23">
        <v>5</v>
      </c>
      <c r="M23">
        <v>4</v>
      </c>
    </row>
    <row r="24" spans="1:13" x14ac:dyDescent="0.25">
      <c r="A24">
        <v>23</v>
      </c>
      <c r="B24">
        <v>3</v>
      </c>
      <c r="C24">
        <v>30</v>
      </c>
      <c r="D24" s="2">
        <v>41724.811469907407</v>
      </c>
      <c r="E24" t="s">
        <v>179</v>
      </c>
      <c r="F24">
        <v>300</v>
      </c>
      <c r="G24" s="3">
        <v>16</v>
      </c>
      <c r="H24">
        <v>1603</v>
      </c>
      <c r="I24" t="s">
        <v>181</v>
      </c>
      <c r="J24">
        <v>11</v>
      </c>
      <c r="K24">
        <v>18</v>
      </c>
      <c r="L24">
        <v>10</v>
      </c>
      <c r="M24">
        <v>3</v>
      </c>
    </row>
    <row r="25" spans="1:13" x14ac:dyDescent="0.25">
      <c r="A25">
        <v>24</v>
      </c>
      <c r="B25">
        <v>3</v>
      </c>
      <c r="C25">
        <v>29</v>
      </c>
      <c r="D25" s="2">
        <v>41721.445439814815</v>
      </c>
      <c r="E25" t="s">
        <v>179</v>
      </c>
      <c r="F25">
        <v>30</v>
      </c>
      <c r="G25" s="3">
        <v>17</v>
      </c>
      <c r="H25">
        <v>1448</v>
      </c>
      <c r="I25" t="s">
        <v>181</v>
      </c>
      <c r="J25">
        <v>20</v>
      </c>
      <c r="K25">
        <v>13</v>
      </c>
      <c r="L25">
        <v>1</v>
      </c>
      <c r="M25">
        <v>8</v>
      </c>
    </row>
    <row r="26" spans="1:13" x14ac:dyDescent="0.25">
      <c r="A26">
        <v>25</v>
      </c>
      <c r="B26">
        <v>4</v>
      </c>
      <c r="C26">
        <v>27</v>
      </c>
      <c r="D26" s="2">
        <v>41748.274756944447</v>
      </c>
      <c r="E26" t="s">
        <v>179</v>
      </c>
      <c r="F26">
        <v>240</v>
      </c>
      <c r="G26" s="3">
        <v>1</v>
      </c>
      <c r="H26">
        <v>1790</v>
      </c>
      <c r="I26" t="s">
        <v>181</v>
      </c>
      <c r="J26">
        <v>20</v>
      </c>
      <c r="K26">
        <v>20</v>
      </c>
      <c r="L26">
        <v>1</v>
      </c>
      <c r="M26">
        <v>1</v>
      </c>
    </row>
    <row r="27" spans="1:13" x14ac:dyDescent="0.25">
      <c r="A27">
        <v>26</v>
      </c>
      <c r="B27">
        <v>4</v>
      </c>
      <c r="C27">
        <v>25</v>
      </c>
      <c r="D27" s="2">
        <v>41747.896921296298</v>
      </c>
      <c r="E27" t="s">
        <v>179</v>
      </c>
      <c r="F27">
        <v>300</v>
      </c>
      <c r="G27" s="3">
        <v>2</v>
      </c>
      <c r="H27">
        <v>0</v>
      </c>
      <c r="I27" t="s">
        <v>182</v>
      </c>
      <c r="J27">
        <v>0</v>
      </c>
      <c r="K27">
        <v>0</v>
      </c>
      <c r="L27">
        <v>0</v>
      </c>
      <c r="M27">
        <v>0</v>
      </c>
    </row>
    <row r="28" spans="1:13" x14ac:dyDescent="0.25">
      <c r="A28">
        <v>27</v>
      </c>
      <c r="B28">
        <v>5</v>
      </c>
      <c r="C28">
        <v>10</v>
      </c>
      <c r="D28" s="2">
        <v>41759.739374999997</v>
      </c>
      <c r="E28" t="s">
        <v>179</v>
      </c>
      <c r="F28">
        <v>240</v>
      </c>
      <c r="G28" s="3">
        <v>1</v>
      </c>
      <c r="H28">
        <v>0</v>
      </c>
      <c r="I28" t="s">
        <v>182</v>
      </c>
      <c r="J28">
        <v>0</v>
      </c>
      <c r="K28">
        <v>0</v>
      </c>
      <c r="L28">
        <v>0</v>
      </c>
      <c r="M28">
        <v>0</v>
      </c>
    </row>
    <row r="29" spans="1:13" x14ac:dyDescent="0.25">
      <c r="A29">
        <v>28</v>
      </c>
      <c r="B29">
        <v>5</v>
      </c>
      <c r="C29">
        <v>22</v>
      </c>
      <c r="D29" s="2">
        <v>41759.108738425923</v>
      </c>
      <c r="E29" t="s">
        <v>179</v>
      </c>
      <c r="F29">
        <v>300</v>
      </c>
      <c r="G29" s="3">
        <v>2</v>
      </c>
      <c r="H29">
        <v>1682</v>
      </c>
      <c r="I29" t="s">
        <v>181</v>
      </c>
      <c r="J29">
        <v>17</v>
      </c>
      <c r="K29">
        <v>18</v>
      </c>
      <c r="L29">
        <v>4</v>
      </c>
      <c r="M29">
        <v>3</v>
      </c>
    </row>
    <row r="30" spans="1:13" x14ac:dyDescent="0.25">
      <c r="A30">
        <v>29</v>
      </c>
      <c r="B30">
        <v>5</v>
      </c>
      <c r="C30">
        <v>23</v>
      </c>
      <c r="D30" s="2">
        <v>41753.63484953704</v>
      </c>
      <c r="E30" t="s">
        <v>179</v>
      </c>
      <c r="F30">
        <v>270</v>
      </c>
      <c r="G30" s="3">
        <v>3</v>
      </c>
      <c r="H30">
        <v>1736</v>
      </c>
      <c r="I30" t="s">
        <v>181</v>
      </c>
      <c r="J30">
        <v>16</v>
      </c>
      <c r="K30">
        <v>16</v>
      </c>
      <c r="L30">
        <v>5</v>
      </c>
      <c r="M30">
        <v>5</v>
      </c>
    </row>
    <row r="31" spans="1:13" x14ac:dyDescent="0.25">
      <c r="A31">
        <v>30</v>
      </c>
      <c r="B31">
        <v>5</v>
      </c>
      <c r="C31">
        <v>15</v>
      </c>
      <c r="D31" s="2">
        <v>41758.922071759262</v>
      </c>
      <c r="E31" t="s">
        <v>179</v>
      </c>
      <c r="F31">
        <v>240</v>
      </c>
      <c r="G31" s="3">
        <v>4</v>
      </c>
      <c r="H31">
        <v>1557</v>
      </c>
      <c r="I31" t="s">
        <v>181</v>
      </c>
      <c r="J31">
        <v>19</v>
      </c>
      <c r="K31">
        <v>19</v>
      </c>
      <c r="L31">
        <v>2</v>
      </c>
      <c r="M31">
        <v>2</v>
      </c>
    </row>
    <row r="32" spans="1:13" x14ac:dyDescent="0.25">
      <c r="A32">
        <v>31</v>
      </c>
      <c r="B32">
        <v>5</v>
      </c>
      <c r="C32">
        <v>26</v>
      </c>
      <c r="D32" s="2">
        <v>41754.458599537036</v>
      </c>
      <c r="E32" t="s">
        <v>179</v>
      </c>
      <c r="F32">
        <v>300</v>
      </c>
      <c r="G32" s="3">
        <v>5</v>
      </c>
      <c r="H32">
        <v>1549</v>
      </c>
      <c r="I32" t="s">
        <v>181</v>
      </c>
      <c r="J32">
        <v>20</v>
      </c>
      <c r="K32">
        <v>20</v>
      </c>
      <c r="L32">
        <v>1</v>
      </c>
      <c r="M32">
        <v>1</v>
      </c>
    </row>
    <row r="33" spans="1:13" x14ac:dyDescent="0.25">
      <c r="A33">
        <v>32</v>
      </c>
      <c r="B33">
        <v>5</v>
      </c>
      <c r="C33">
        <v>2</v>
      </c>
      <c r="D33" s="2">
        <v>41759.777071759258</v>
      </c>
      <c r="E33" t="s">
        <v>179</v>
      </c>
      <c r="F33">
        <v>300</v>
      </c>
      <c r="G33" s="3">
        <v>6</v>
      </c>
      <c r="H33">
        <v>0</v>
      </c>
      <c r="I33" t="s">
        <v>180</v>
      </c>
      <c r="J33">
        <v>0</v>
      </c>
      <c r="K33">
        <v>0</v>
      </c>
      <c r="L33">
        <v>0</v>
      </c>
      <c r="M33">
        <v>0</v>
      </c>
    </row>
    <row r="34" spans="1:13" x14ac:dyDescent="0.25">
      <c r="A34">
        <v>33</v>
      </c>
      <c r="B34">
        <v>5</v>
      </c>
      <c r="C34">
        <v>20</v>
      </c>
      <c r="D34" s="2">
        <v>41753.265486111108</v>
      </c>
      <c r="E34" t="s">
        <v>179</v>
      </c>
      <c r="F34">
        <v>150</v>
      </c>
      <c r="G34" s="3">
        <v>7</v>
      </c>
      <c r="H34">
        <v>1608</v>
      </c>
      <c r="I34" t="s">
        <v>181</v>
      </c>
      <c r="J34">
        <v>18</v>
      </c>
      <c r="K34">
        <v>17</v>
      </c>
      <c r="L34">
        <v>3</v>
      </c>
      <c r="M34">
        <v>4</v>
      </c>
    </row>
    <row r="35" spans="1:13" x14ac:dyDescent="0.25">
      <c r="A35">
        <v>34</v>
      </c>
      <c r="B35">
        <v>6</v>
      </c>
      <c r="C35">
        <v>11</v>
      </c>
      <c r="D35" s="2">
        <v>41763.889293981483</v>
      </c>
      <c r="E35" t="s">
        <v>179</v>
      </c>
      <c r="F35">
        <v>270</v>
      </c>
      <c r="G35" s="3">
        <v>1</v>
      </c>
      <c r="H35">
        <v>2032</v>
      </c>
      <c r="I35" t="s">
        <v>181</v>
      </c>
      <c r="J35">
        <v>11</v>
      </c>
      <c r="K35">
        <v>19</v>
      </c>
      <c r="L35">
        <v>10</v>
      </c>
      <c r="M35">
        <v>2</v>
      </c>
    </row>
    <row r="36" spans="1:13" x14ac:dyDescent="0.25">
      <c r="A36">
        <v>35</v>
      </c>
      <c r="B36">
        <v>6</v>
      </c>
      <c r="C36">
        <v>8</v>
      </c>
      <c r="D36" s="2">
        <v>41765.1637962963</v>
      </c>
      <c r="E36" t="s">
        <v>179</v>
      </c>
      <c r="F36">
        <v>240</v>
      </c>
      <c r="G36" s="3">
        <v>2</v>
      </c>
      <c r="H36">
        <v>2008</v>
      </c>
      <c r="I36" t="s">
        <v>181</v>
      </c>
      <c r="J36">
        <v>13</v>
      </c>
      <c r="K36">
        <v>18</v>
      </c>
      <c r="L36">
        <v>8</v>
      </c>
      <c r="M36">
        <v>3</v>
      </c>
    </row>
    <row r="37" spans="1:13" x14ac:dyDescent="0.25">
      <c r="A37">
        <v>36</v>
      </c>
      <c r="B37">
        <v>6</v>
      </c>
      <c r="C37">
        <v>29</v>
      </c>
      <c r="D37" s="2">
        <v>41767.395416666666</v>
      </c>
      <c r="E37" t="s">
        <v>179</v>
      </c>
      <c r="F37">
        <v>180</v>
      </c>
      <c r="G37" s="3">
        <v>3</v>
      </c>
      <c r="H37">
        <v>1984</v>
      </c>
      <c r="I37" t="s">
        <v>181</v>
      </c>
      <c r="J37">
        <v>14</v>
      </c>
      <c r="K37">
        <v>17</v>
      </c>
      <c r="L37">
        <v>7</v>
      </c>
      <c r="M37">
        <v>4</v>
      </c>
    </row>
    <row r="38" spans="1:13" x14ac:dyDescent="0.25">
      <c r="A38">
        <v>37</v>
      </c>
      <c r="B38">
        <v>6</v>
      </c>
      <c r="C38">
        <v>22</v>
      </c>
      <c r="D38" s="2">
        <v>41763.616446759261</v>
      </c>
      <c r="E38" t="s">
        <v>179</v>
      </c>
      <c r="F38">
        <v>60</v>
      </c>
      <c r="G38" s="3">
        <v>4</v>
      </c>
      <c r="H38">
        <v>1960</v>
      </c>
      <c r="I38" t="s">
        <v>181</v>
      </c>
      <c r="J38">
        <v>15</v>
      </c>
      <c r="K38">
        <v>12</v>
      </c>
      <c r="L38">
        <v>6</v>
      </c>
      <c r="M38">
        <v>9</v>
      </c>
    </row>
    <row r="39" spans="1:13" x14ac:dyDescent="0.25">
      <c r="A39">
        <v>38</v>
      </c>
      <c r="B39">
        <v>6</v>
      </c>
      <c r="C39">
        <v>23</v>
      </c>
      <c r="D39" s="2">
        <v>41765.557615740741</v>
      </c>
      <c r="E39" t="s">
        <v>179</v>
      </c>
      <c r="F39">
        <v>30</v>
      </c>
      <c r="G39" s="3">
        <v>5</v>
      </c>
      <c r="H39">
        <v>1936</v>
      </c>
      <c r="I39" t="s">
        <v>181</v>
      </c>
      <c r="J39">
        <v>17</v>
      </c>
      <c r="K39">
        <v>11</v>
      </c>
      <c r="L39">
        <v>4</v>
      </c>
      <c r="M39">
        <v>10</v>
      </c>
    </row>
    <row r="40" spans="1:13" x14ac:dyDescent="0.25">
      <c r="A40">
        <v>39</v>
      </c>
      <c r="B40">
        <v>6</v>
      </c>
      <c r="C40">
        <v>28</v>
      </c>
      <c r="D40" s="2">
        <v>41767.830914351849</v>
      </c>
      <c r="E40" t="s">
        <v>179</v>
      </c>
      <c r="F40">
        <v>240</v>
      </c>
      <c r="G40" s="3">
        <v>6</v>
      </c>
      <c r="H40">
        <v>1912</v>
      </c>
      <c r="I40" t="s">
        <v>181</v>
      </c>
      <c r="J40">
        <v>18</v>
      </c>
      <c r="K40">
        <v>20</v>
      </c>
      <c r="L40">
        <v>3</v>
      </c>
      <c r="M40">
        <v>1</v>
      </c>
    </row>
    <row r="41" spans="1:13" x14ac:dyDescent="0.25">
      <c r="A41">
        <v>40</v>
      </c>
      <c r="B41">
        <v>6</v>
      </c>
      <c r="C41">
        <v>26</v>
      </c>
      <c r="D41" s="2">
        <v>41761.02138888889</v>
      </c>
      <c r="E41" t="s">
        <v>179</v>
      </c>
      <c r="F41">
        <v>180</v>
      </c>
      <c r="G41" s="3">
        <v>7</v>
      </c>
      <c r="H41">
        <v>0</v>
      </c>
      <c r="I41" t="s">
        <v>180</v>
      </c>
      <c r="J41">
        <v>0</v>
      </c>
      <c r="K41">
        <v>0</v>
      </c>
      <c r="L41">
        <v>0</v>
      </c>
      <c r="M41">
        <v>0</v>
      </c>
    </row>
    <row r="42" spans="1:13" x14ac:dyDescent="0.25">
      <c r="A42">
        <v>41</v>
      </c>
      <c r="B42">
        <v>6</v>
      </c>
      <c r="C42">
        <v>19</v>
      </c>
      <c r="D42" s="2">
        <v>41760.060416666667</v>
      </c>
      <c r="E42" t="s">
        <v>179</v>
      </c>
      <c r="F42">
        <v>0</v>
      </c>
      <c r="G42" s="3">
        <v>8</v>
      </c>
      <c r="H42">
        <v>0</v>
      </c>
      <c r="I42" t="s">
        <v>180</v>
      </c>
      <c r="J42">
        <v>0</v>
      </c>
      <c r="K42">
        <v>0</v>
      </c>
      <c r="L42">
        <v>0</v>
      </c>
      <c r="M42">
        <v>0</v>
      </c>
    </row>
    <row r="43" spans="1:13" x14ac:dyDescent="0.25">
      <c r="A43">
        <v>42</v>
      </c>
      <c r="B43">
        <v>6</v>
      </c>
      <c r="C43">
        <v>5</v>
      </c>
      <c r="D43" s="2">
        <v>41764.926365740743</v>
      </c>
      <c r="E43" t="s">
        <v>179</v>
      </c>
      <c r="F43">
        <v>240</v>
      </c>
      <c r="G43" s="3">
        <v>9</v>
      </c>
      <c r="H43">
        <v>0</v>
      </c>
      <c r="I43" t="s">
        <v>182</v>
      </c>
      <c r="J43">
        <v>0</v>
      </c>
      <c r="K43">
        <v>0</v>
      </c>
      <c r="L43">
        <v>0</v>
      </c>
      <c r="M43">
        <v>0</v>
      </c>
    </row>
    <row r="44" spans="1:13" x14ac:dyDescent="0.25">
      <c r="A44">
        <v>43</v>
      </c>
      <c r="B44">
        <v>6</v>
      </c>
      <c r="C44">
        <v>17</v>
      </c>
      <c r="D44" s="2">
        <v>41765.200798611113</v>
      </c>
      <c r="E44" t="s">
        <v>179</v>
      </c>
      <c r="F44">
        <v>270</v>
      </c>
      <c r="G44" s="3">
        <v>10</v>
      </c>
      <c r="H44">
        <v>2145</v>
      </c>
      <c r="I44" t="s">
        <v>181</v>
      </c>
      <c r="J44">
        <v>7</v>
      </c>
      <c r="K44">
        <v>15</v>
      </c>
      <c r="L44">
        <v>14</v>
      </c>
      <c r="M44">
        <v>6</v>
      </c>
    </row>
    <row r="45" spans="1:13" x14ac:dyDescent="0.25">
      <c r="A45">
        <v>44</v>
      </c>
      <c r="B45">
        <v>6</v>
      </c>
      <c r="C45">
        <v>13</v>
      </c>
      <c r="D45" s="2">
        <v>41761.059270833335</v>
      </c>
      <c r="E45" t="s">
        <v>179</v>
      </c>
      <c r="F45">
        <v>270</v>
      </c>
      <c r="G45" s="3">
        <v>11</v>
      </c>
      <c r="H45">
        <v>0</v>
      </c>
      <c r="I45" t="s">
        <v>182</v>
      </c>
      <c r="J45">
        <v>0</v>
      </c>
      <c r="K45">
        <v>0</v>
      </c>
      <c r="L45">
        <v>0</v>
      </c>
      <c r="M45">
        <v>0</v>
      </c>
    </row>
    <row r="46" spans="1:13" x14ac:dyDescent="0.25">
      <c r="A46">
        <v>45</v>
      </c>
      <c r="B46">
        <v>6</v>
      </c>
      <c r="C46">
        <v>21</v>
      </c>
      <c r="D46" s="2">
        <v>41764.486817129633</v>
      </c>
      <c r="E46" t="s">
        <v>179</v>
      </c>
      <c r="F46">
        <v>90</v>
      </c>
      <c r="G46" s="3">
        <v>12</v>
      </c>
      <c r="H46">
        <v>2057</v>
      </c>
      <c r="I46" t="s">
        <v>181</v>
      </c>
      <c r="J46">
        <v>10</v>
      </c>
      <c r="K46">
        <v>9</v>
      </c>
      <c r="L46">
        <v>11</v>
      </c>
      <c r="M46">
        <v>12</v>
      </c>
    </row>
    <row r="47" spans="1:13" x14ac:dyDescent="0.25">
      <c r="A47">
        <v>46</v>
      </c>
      <c r="B47">
        <v>6</v>
      </c>
      <c r="C47">
        <v>18</v>
      </c>
      <c r="D47" s="2">
        <v>41760.024027777778</v>
      </c>
      <c r="E47" t="s">
        <v>179</v>
      </c>
      <c r="F47">
        <v>60</v>
      </c>
      <c r="G47" s="3">
        <v>13</v>
      </c>
      <c r="H47">
        <v>2123</v>
      </c>
      <c r="I47" t="s">
        <v>181</v>
      </c>
      <c r="J47">
        <v>8</v>
      </c>
      <c r="K47">
        <v>8</v>
      </c>
      <c r="L47">
        <v>13</v>
      </c>
      <c r="M47">
        <v>13</v>
      </c>
    </row>
    <row r="48" spans="1:13" x14ac:dyDescent="0.25">
      <c r="A48">
        <v>47</v>
      </c>
      <c r="B48">
        <v>6</v>
      </c>
      <c r="C48">
        <v>27</v>
      </c>
      <c r="D48" s="2">
        <v>41763.008472222224</v>
      </c>
      <c r="E48" t="s">
        <v>179</v>
      </c>
      <c r="F48">
        <v>30</v>
      </c>
      <c r="G48" s="3">
        <v>14</v>
      </c>
      <c r="H48">
        <v>2113</v>
      </c>
      <c r="I48" t="s">
        <v>181</v>
      </c>
      <c r="J48">
        <v>9</v>
      </c>
      <c r="K48">
        <v>7</v>
      </c>
      <c r="L48">
        <v>12</v>
      </c>
      <c r="M48">
        <v>14</v>
      </c>
    </row>
    <row r="49" spans="1:13" x14ac:dyDescent="0.25">
      <c r="A49">
        <v>48</v>
      </c>
      <c r="B49">
        <v>6</v>
      </c>
      <c r="C49">
        <v>25</v>
      </c>
      <c r="D49" s="2">
        <v>41767.576249999998</v>
      </c>
      <c r="E49" t="s">
        <v>179</v>
      </c>
      <c r="F49">
        <v>30</v>
      </c>
      <c r="G49" s="3">
        <v>15</v>
      </c>
      <c r="H49">
        <v>1896</v>
      </c>
      <c r="I49" t="s">
        <v>181</v>
      </c>
      <c r="J49">
        <v>19</v>
      </c>
      <c r="K49">
        <v>16</v>
      </c>
      <c r="L49">
        <v>2</v>
      </c>
      <c r="M49">
        <v>5</v>
      </c>
    </row>
    <row r="50" spans="1:13" x14ac:dyDescent="0.25">
      <c r="A50">
        <v>49</v>
      </c>
      <c r="B50">
        <v>6</v>
      </c>
      <c r="C50">
        <v>4</v>
      </c>
      <c r="D50" s="2">
        <v>41764.86347222222</v>
      </c>
      <c r="E50" t="s">
        <v>179</v>
      </c>
      <c r="F50">
        <v>0</v>
      </c>
      <c r="G50" s="3">
        <v>16</v>
      </c>
      <c r="H50">
        <v>1886</v>
      </c>
      <c r="I50" t="s">
        <v>181</v>
      </c>
      <c r="J50">
        <v>20</v>
      </c>
      <c r="K50">
        <v>14</v>
      </c>
      <c r="L50">
        <v>1</v>
      </c>
      <c r="M50">
        <v>7</v>
      </c>
    </row>
    <row r="51" spans="1:13" x14ac:dyDescent="0.25">
      <c r="A51">
        <v>50</v>
      </c>
      <c r="B51">
        <v>6</v>
      </c>
      <c r="C51">
        <v>7</v>
      </c>
      <c r="D51" s="2">
        <v>41761.388888888891</v>
      </c>
      <c r="E51" t="s">
        <v>179</v>
      </c>
      <c r="F51">
        <v>60</v>
      </c>
      <c r="G51" s="3">
        <v>17</v>
      </c>
      <c r="H51">
        <v>1951</v>
      </c>
      <c r="I51" t="s">
        <v>181</v>
      </c>
      <c r="J51">
        <v>16</v>
      </c>
      <c r="K51">
        <v>13</v>
      </c>
      <c r="L51">
        <v>5</v>
      </c>
      <c r="M51">
        <v>8</v>
      </c>
    </row>
    <row r="52" spans="1:13" x14ac:dyDescent="0.25">
      <c r="A52">
        <v>51</v>
      </c>
      <c r="B52">
        <v>6</v>
      </c>
      <c r="C52">
        <v>14</v>
      </c>
      <c r="D52" s="2">
        <v>41763.676111111112</v>
      </c>
      <c r="E52" t="s">
        <v>179</v>
      </c>
      <c r="F52">
        <v>60</v>
      </c>
      <c r="G52" s="3">
        <v>18</v>
      </c>
      <c r="H52">
        <v>2016</v>
      </c>
      <c r="I52" t="s">
        <v>181</v>
      </c>
      <c r="J52">
        <v>12</v>
      </c>
      <c r="K52">
        <v>10</v>
      </c>
      <c r="L52">
        <v>9</v>
      </c>
      <c r="M52">
        <v>11</v>
      </c>
    </row>
    <row r="53" spans="1:13" x14ac:dyDescent="0.25">
      <c r="A53">
        <v>52</v>
      </c>
      <c r="B53">
        <v>7</v>
      </c>
      <c r="C53">
        <v>26</v>
      </c>
      <c r="D53" s="2">
        <v>41771.199108796296</v>
      </c>
      <c r="E53" t="s">
        <v>179</v>
      </c>
      <c r="F53">
        <v>90</v>
      </c>
      <c r="G53" s="3">
        <v>1</v>
      </c>
      <c r="H53">
        <v>1627</v>
      </c>
      <c r="I53" t="s">
        <v>181</v>
      </c>
      <c r="J53">
        <v>19</v>
      </c>
      <c r="K53">
        <v>19</v>
      </c>
      <c r="L53">
        <v>2</v>
      </c>
      <c r="M53">
        <v>2</v>
      </c>
    </row>
    <row r="54" spans="1:13" x14ac:dyDescent="0.25">
      <c r="A54">
        <v>53</v>
      </c>
      <c r="B54">
        <v>7</v>
      </c>
      <c r="C54">
        <v>22</v>
      </c>
      <c r="D54" s="2">
        <v>41768.443969907406</v>
      </c>
      <c r="E54" t="s">
        <v>179</v>
      </c>
      <c r="F54">
        <v>90</v>
      </c>
      <c r="G54" s="3">
        <v>2</v>
      </c>
      <c r="H54">
        <v>1681</v>
      </c>
      <c r="I54" t="s">
        <v>181</v>
      </c>
      <c r="J54">
        <v>17</v>
      </c>
      <c r="K54">
        <v>18</v>
      </c>
      <c r="L54">
        <v>4</v>
      </c>
      <c r="M54">
        <v>3</v>
      </c>
    </row>
    <row r="55" spans="1:13" x14ac:dyDescent="0.25">
      <c r="A55">
        <v>54</v>
      </c>
      <c r="B55">
        <v>7</v>
      </c>
      <c r="C55">
        <v>19</v>
      </c>
      <c r="D55" s="2">
        <v>41773.022858796299</v>
      </c>
      <c r="E55" t="s">
        <v>179</v>
      </c>
      <c r="F55">
        <v>150</v>
      </c>
      <c r="G55" s="3">
        <v>3</v>
      </c>
      <c r="H55">
        <v>1625</v>
      </c>
      <c r="I55" t="s">
        <v>181</v>
      </c>
      <c r="J55">
        <v>20</v>
      </c>
      <c r="K55">
        <v>20</v>
      </c>
      <c r="L55">
        <v>1</v>
      </c>
      <c r="M55">
        <v>1</v>
      </c>
    </row>
    <row r="56" spans="1:13" x14ac:dyDescent="0.25">
      <c r="A56">
        <v>55</v>
      </c>
      <c r="B56">
        <v>7</v>
      </c>
      <c r="C56">
        <v>14</v>
      </c>
      <c r="D56" s="2">
        <v>41768.123136574075</v>
      </c>
      <c r="E56" t="s">
        <v>179</v>
      </c>
      <c r="F56">
        <v>60</v>
      </c>
      <c r="G56" s="3">
        <v>4</v>
      </c>
      <c r="H56">
        <v>1679</v>
      </c>
      <c r="I56" t="s">
        <v>181</v>
      </c>
      <c r="J56">
        <v>18</v>
      </c>
      <c r="K56">
        <v>17</v>
      </c>
      <c r="L56">
        <v>3</v>
      </c>
      <c r="M56">
        <v>4</v>
      </c>
    </row>
    <row r="57" spans="1:13" x14ac:dyDescent="0.25">
      <c r="A57">
        <v>56</v>
      </c>
      <c r="B57">
        <v>7</v>
      </c>
      <c r="C57">
        <v>29</v>
      </c>
      <c r="D57" s="2">
        <v>41772.660532407404</v>
      </c>
      <c r="E57" t="s">
        <v>179</v>
      </c>
      <c r="F57">
        <v>60</v>
      </c>
      <c r="G57" s="3">
        <v>5</v>
      </c>
      <c r="H57">
        <v>0</v>
      </c>
      <c r="I57" t="s">
        <v>182</v>
      </c>
      <c r="J57">
        <v>0</v>
      </c>
      <c r="K57">
        <v>0</v>
      </c>
      <c r="L57">
        <v>0</v>
      </c>
      <c r="M57">
        <v>0</v>
      </c>
    </row>
    <row r="58" spans="1:13" x14ac:dyDescent="0.25">
      <c r="A58">
        <v>57</v>
      </c>
      <c r="B58">
        <v>8</v>
      </c>
      <c r="C58">
        <v>7</v>
      </c>
      <c r="D58" s="2">
        <v>41777.880127314813</v>
      </c>
      <c r="E58" t="s">
        <v>179</v>
      </c>
      <c r="F58">
        <v>0</v>
      </c>
      <c r="G58" s="3">
        <v>1</v>
      </c>
      <c r="H58">
        <v>0</v>
      </c>
      <c r="I58" t="s">
        <v>180</v>
      </c>
      <c r="J58">
        <v>0</v>
      </c>
      <c r="K58">
        <v>0</v>
      </c>
      <c r="L58">
        <v>0</v>
      </c>
      <c r="M58">
        <v>0</v>
      </c>
    </row>
    <row r="59" spans="1:13" x14ac:dyDescent="0.25">
      <c r="A59">
        <v>58</v>
      </c>
      <c r="B59">
        <v>8</v>
      </c>
      <c r="C59">
        <v>20</v>
      </c>
      <c r="D59" s="2">
        <v>41774.194745370369</v>
      </c>
      <c r="E59" t="s">
        <v>179</v>
      </c>
      <c r="F59">
        <v>90</v>
      </c>
      <c r="G59" s="3">
        <v>2</v>
      </c>
      <c r="H59">
        <v>0</v>
      </c>
      <c r="I59" t="s">
        <v>182</v>
      </c>
      <c r="J59">
        <v>0</v>
      </c>
      <c r="K59">
        <v>0</v>
      </c>
      <c r="L59">
        <v>0</v>
      </c>
      <c r="M59">
        <v>0</v>
      </c>
    </row>
    <row r="60" spans="1:13" x14ac:dyDescent="0.25">
      <c r="A60">
        <v>59</v>
      </c>
      <c r="B60">
        <v>8</v>
      </c>
      <c r="C60">
        <v>3</v>
      </c>
      <c r="D60" s="2">
        <v>41778.018680555557</v>
      </c>
      <c r="E60" t="s">
        <v>179</v>
      </c>
      <c r="F60">
        <v>0</v>
      </c>
      <c r="G60" s="3">
        <v>3</v>
      </c>
      <c r="H60">
        <v>1765</v>
      </c>
      <c r="I60" t="s">
        <v>181</v>
      </c>
      <c r="J60">
        <v>13</v>
      </c>
      <c r="K60">
        <v>1</v>
      </c>
      <c r="L60">
        <v>8</v>
      </c>
      <c r="M60">
        <v>20</v>
      </c>
    </row>
    <row r="61" spans="1:13" x14ac:dyDescent="0.25">
      <c r="A61">
        <v>60</v>
      </c>
      <c r="B61">
        <v>8</v>
      </c>
      <c r="C61">
        <v>28</v>
      </c>
      <c r="D61" s="2">
        <v>41778.956342592595</v>
      </c>
      <c r="E61" t="s">
        <v>179</v>
      </c>
      <c r="F61">
        <v>90</v>
      </c>
      <c r="G61" s="3">
        <v>4</v>
      </c>
      <c r="H61">
        <v>1730</v>
      </c>
      <c r="I61" t="s">
        <v>181</v>
      </c>
      <c r="J61">
        <v>17</v>
      </c>
      <c r="K61">
        <v>10</v>
      </c>
      <c r="L61">
        <v>4</v>
      </c>
      <c r="M61">
        <v>11</v>
      </c>
    </row>
    <row r="62" spans="1:13" x14ac:dyDescent="0.25">
      <c r="A62">
        <v>61</v>
      </c>
      <c r="B62">
        <v>8</v>
      </c>
      <c r="C62">
        <v>16</v>
      </c>
      <c r="D62" s="2">
        <v>41777.841736111113</v>
      </c>
      <c r="E62" t="s">
        <v>179</v>
      </c>
      <c r="F62">
        <v>300</v>
      </c>
      <c r="G62" s="3">
        <v>5</v>
      </c>
      <c r="H62">
        <v>0</v>
      </c>
      <c r="I62" t="s">
        <v>182</v>
      </c>
      <c r="J62">
        <v>0</v>
      </c>
      <c r="K62">
        <v>0</v>
      </c>
      <c r="L62">
        <v>0</v>
      </c>
      <c r="M62">
        <v>0</v>
      </c>
    </row>
    <row r="63" spans="1:13" x14ac:dyDescent="0.25">
      <c r="A63">
        <v>62</v>
      </c>
      <c r="B63">
        <v>8</v>
      </c>
      <c r="C63">
        <v>27</v>
      </c>
      <c r="D63" s="2">
        <v>41779.656574074077</v>
      </c>
      <c r="E63" t="s">
        <v>179</v>
      </c>
      <c r="F63">
        <v>90</v>
      </c>
      <c r="G63" s="3">
        <v>6</v>
      </c>
      <c r="H63">
        <v>1785</v>
      </c>
      <c r="I63" t="s">
        <v>181</v>
      </c>
      <c r="J63">
        <v>11</v>
      </c>
      <c r="K63">
        <v>5</v>
      </c>
      <c r="L63">
        <v>10</v>
      </c>
      <c r="M63">
        <v>16</v>
      </c>
    </row>
    <row r="64" spans="1:13" x14ac:dyDescent="0.25">
      <c r="A64">
        <v>63</v>
      </c>
      <c r="B64">
        <v>8</v>
      </c>
      <c r="C64">
        <v>1</v>
      </c>
      <c r="D64" s="2">
        <v>41776.611608796295</v>
      </c>
      <c r="E64" t="s">
        <v>179</v>
      </c>
      <c r="F64">
        <v>150</v>
      </c>
      <c r="G64" s="3">
        <v>7</v>
      </c>
      <c r="H64">
        <v>1756</v>
      </c>
      <c r="I64" t="s">
        <v>181</v>
      </c>
      <c r="J64">
        <v>15</v>
      </c>
      <c r="K64">
        <v>12</v>
      </c>
      <c r="L64">
        <v>6</v>
      </c>
      <c r="M64">
        <v>9</v>
      </c>
    </row>
    <row r="65" spans="1:13" x14ac:dyDescent="0.25">
      <c r="A65">
        <v>64</v>
      </c>
      <c r="B65">
        <v>8</v>
      </c>
      <c r="C65">
        <v>4</v>
      </c>
      <c r="D65" s="2">
        <v>41781.566655092596</v>
      </c>
      <c r="E65" t="s">
        <v>179</v>
      </c>
      <c r="F65">
        <v>150</v>
      </c>
      <c r="G65" s="3">
        <v>8</v>
      </c>
      <c r="H65">
        <v>1728</v>
      </c>
      <c r="I65" t="s">
        <v>181</v>
      </c>
      <c r="J65">
        <v>18</v>
      </c>
      <c r="K65">
        <v>13</v>
      </c>
      <c r="L65">
        <v>3</v>
      </c>
      <c r="M65">
        <v>8</v>
      </c>
    </row>
    <row r="66" spans="1:13" x14ac:dyDescent="0.25">
      <c r="A66">
        <v>65</v>
      </c>
      <c r="B66">
        <v>8</v>
      </c>
      <c r="C66">
        <v>2</v>
      </c>
      <c r="D66" s="2">
        <v>41777.729328703703</v>
      </c>
      <c r="E66" t="s">
        <v>179</v>
      </c>
      <c r="F66">
        <v>240</v>
      </c>
      <c r="G66" s="3">
        <v>9</v>
      </c>
      <c r="H66">
        <v>1888</v>
      </c>
      <c r="I66" t="s">
        <v>181</v>
      </c>
      <c r="J66">
        <v>4</v>
      </c>
      <c r="K66">
        <v>8</v>
      </c>
      <c r="L66">
        <v>17</v>
      </c>
      <c r="M66">
        <v>13</v>
      </c>
    </row>
    <row r="67" spans="1:13" x14ac:dyDescent="0.25">
      <c r="A67">
        <v>66</v>
      </c>
      <c r="B67">
        <v>8</v>
      </c>
      <c r="C67">
        <v>23</v>
      </c>
      <c r="D67" s="2">
        <v>41776.684363425928</v>
      </c>
      <c r="E67" t="s">
        <v>179</v>
      </c>
      <c r="F67">
        <v>300</v>
      </c>
      <c r="G67" s="3">
        <v>10</v>
      </c>
      <c r="H67">
        <v>1859</v>
      </c>
      <c r="I67" t="s">
        <v>181</v>
      </c>
      <c r="J67">
        <v>7</v>
      </c>
      <c r="K67">
        <v>16</v>
      </c>
      <c r="L67">
        <v>14</v>
      </c>
      <c r="M67">
        <v>5</v>
      </c>
    </row>
    <row r="68" spans="1:13" x14ac:dyDescent="0.25">
      <c r="A68">
        <v>67</v>
      </c>
      <c r="B68">
        <v>8</v>
      </c>
      <c r="C68">
        <v>18</v>
      </c>
      <c r="D68" s="2">
        <v>41781.888715277775</v>
      </c>
      <c r="E68" t="s">
        <v>179</v>
      </c>
      <c r="F68">
        <v>60</v>
      </c>
      <c r="G68" s="3">
        <v>11</v>
      </c>
      <c r="H68">
        <v>1763</v>
      </c>
      <c r="I68" t="s">
        <v>181</v>
      </c>
      <c r="J68">
        <v>14</v>
      </c>
      <c r="K68">
        <v>4</v>
      </c>
      <c r="L68">
        <v>7</v>
      </c>
      <c r="M68">
        <v>17</v>
      </c>
    </row>
    <row r="69" spans="1:13" x14ac:dyDescent="0.25">
      <c r="A69">
        <v>68</v>
      </c>
      <c r="B69">
        <v>8</v>
      </c>
      <c r="C69">
        <v>5</v>
      </c>
      <c r="D69" s="2">
        <v>41776.582453703704</v>
      </c>
      <c r="E69" t="s">
        <v>179</v>
      </c>
      <c r="F69">
        <v>300</v>
      </c>
      <c r="G69" s="3">
        <v>12</v>
      </c>
      <c r="H69">
        <v>0</v>
      </c>
      <c r="I69" t="s">
        <v>180</v>
      </c>
      <c r="J69">
        <v>0</v>
      </c>
      <c r="K69">
        <v>0</v>
      </c>
      <c r="L69">
        <v>0</v>
      </c>
      <c r="M69">
        <v>0</v>
      </c>
    </row>
    <row r="70" spans="1:13" x14ac:dyDescent="0.25">
      <c r="A70">
        <v>69</v>
      </c>
      <c r="B70">
        <v>8</v>
      </c>
      <c r="C70">
        <v>22</v>
      </c>
      <c r="D70" s="2">
        <v>41776.869791666664</v>
      </c>
      <c r="E70" t="s">
        <v>179</v>
      </c>
      <c r="F70">
        <v>270</v>
      </c>
      <c r="G70" s="3">
        <v>13</v>
      </c>
      <c r="H70">
        <v>1950</v>
      </c>
      <c r="I70" t="s">
        <v>181</v>
      </c>
      <c r="J70">
        <v>0</v>
      </c>
      <c r="K70">
        <v>6</v>
      </c>
      <c r="L70">
        <v>21</v>
      </c>
      <c r="M70">
        <v>15</v>
      </c>
    </row>
    <row r="71" spans="1:13" x14ac:dyDescent="0.25">
      <c r="A71">
        <v>70</v>
      </c>
      <c r="B71">
        <v>8</v>
      </c>
      <c r="C71">
        <v>11</v>
      </c>
      <c r="D71" s="2">
        <v>41778.739374999997</v>
      </c>
      <c r="E71" t="s">
        <v>179</v>
      </c>
      <c r="F71">
        <v>270</v>
      </c>
      <c r="G71" s="3">
        <v>14</v>
      </c>
      <c r="H71">
        <v>1841</v>
      </c>
      <c r="I71" t="s">
        <v>181</v>
      </c>
      <c r="J71">
        <v>9</v>
      </c>
      <c r="K71">
        <v>15</v>
      </c>
      <c r="L71">
        <v>12</v>
      </c>
      <c r="M71">
        <v>6</v>
      </c>
    </row>
    <row r="72" spans="1:13" x14ac:dyDescent="0.25">
      <c r="A72">
        <v>71</v>
      </c>
      <c r="B72">
        <v>8</v>
      </c>
      <c r="C72">
        <v>10</v>
      </c>
      <c r="D72" s="2">
        <v>41774.347673611112</v>
      </c>
      <c r="E72" t="s">
        <v>179</v>
      </c>
      <c r="F72">
        <v>240</v>
      </c>
      <c r="G72" s="3">
        <v>15</v>
      </c>
      <c r="H72">
        <v>0</v>
      </c>
      <c r="I72" t="s">
        <v>182</v>
      </c>
      <c r="J72">
        <v>0</v>
      </c>
      <c r="K72">
        <v>0</v>
      </c>
      <c r="L72">
        <v>0</v>
      </c>
      <c r="M72">
        <v>0</v>
      </c>
    </row>
    <row r="73" spans="1:13" x14ac:dyDescent="0.25">
      <c r="A73">
        <v>72</v>
      </c>
      <c r="B73">
        <v>8</v>
      </c>
      <c r="C73">
        <v>21</v>
      </c>
      <c r="D73" s="2">
        <v>41774.385370370372</v>
      </c>
      <c r="E73" t="s">
        <v>179</v>
      </c>
      <c r="F73">
        <v>150</v>
      </c>
      <c r="G73" s="3">
        <v>16</v>
      </c>
      <c r="H73">
        <v>1855</v>
      </c>
      <c r="I73" t="s">
        <v>181</v>
      </c>
      <c r="J73">
        <v>8</v>
      </c>
      <c r="K73">
        <v>3</v>
      </c>
      <c r="L73">
        <v>13</v>
      </c>
      <c r="M73">
        <v>18</v>
      </c>
    </row>
    <row r="74" spans="1:13" x14ac:dyDescent="0.25">
      <c r="A74">
        <v>73</v>
      </c>
      <c r="B74">
        <v>8</v>
      </c>
      <c r="C74">
        <v>12</v>
      </c>
      <c r="D74" s="2">
        <v>41779.953148148146</v>
      </c>
      <c r="E74" t="s">
        <v>179</v>
      </c>
      <c r="F74">
        <v>240</v>
      </c>
      <c r="G74" s="3">
        <v>17</v>
      </c>
      <c r="H74">
        <v>1915</v>
      </c>
      <c r="I74" t="s">
        <v>181</v>
      </c>
      <c r="J74">
        <v>3</v>
      </c>
      <c r="K74">
        <v>7</v>
      </c>
      <c r="L74">
        <v>18</v>
      </c>
      <c r="M74">
        <v>14</v>
      </c>
    </row>
    <row r="75" spans="1:13" x14ac:dyDescent="0.25">
      <c r="A75">
        <v>74</v>
      </c>
      <c r="B75">
        <v>8</v>
      </c>
      <c r="C75">
        <v>8</v>
      </c>
      <c r="D75" s="2">
        <v>41781.239675925928</v>
      </c>
      <c r="E75" t="s">
        <v>179</v>
      </c>
      <c r="F75">
        <v>240</v>
      </c>
      <c r="G75" s="3">
        <v>18</v>
      </c>
      <c r="H75">
        <v>1717</v>
      </c>
      <c r="I75" t="s">
        <v>181</v>
      </c>
      <c r="J75">
        <v>19</v>
      </c>
      <c r="K75">
        <v>20</v>
      </c>
      <c r="L75">
        <v>2</v>
      </c>
      <c r="M75">
        <v>1</v>
      </c>
    </row>
    <row r="76" spans="1:13" x14ac:dyDescent="0.25">
      <c r="A76">
        <v>75</v>
      </c>
      <c r="B76">
        <v>8</v>
      </c>
      <c r="C76">
        <v>9</v>
      </c>
      <c r="D76" s="2">
        <v>41778.776388888888</v>
      </c>
      <c r="E76" t="s">
        <v>179</v>
      </c>
      <c r="F76">
        <v>180</v>
      </c>
      <c r="G76" s="3">
        <v>19</v>
      </c>
      <c r="H76">
        <v>1708</v>
      </c>
      <c r="I76" t="s">
        <v>181</v>
      </c>
      <c r="J76">
        <v>20</v>
      </c>
      <c r="K76">
        <v>18</v>
      </c>
      <c r="L76">
        <v>1</v>
      </c>
      <c r="M76">
        <v>3</v>
      </c>
    </row>
    <row r="77" spans="1:13" x14ac:dyDescent="0.25">
      <c r="A77">
        <v>76</v>
      </c>
      <c r="B77">
        <v>8</v>
      </c>
      <c r="C77">
        <v>13</v>
      </c>
      <c r="D77" s="2">
        <v>41774.053194444445</v>
      </c>
      <c r="E77" t="s">
        <v>179</v>
      </c>
      <c r="F77">
        <v>270</v>
      </c>
      <c r="G77" s="3">
        <v>20</v>
      </c>
      <c r="H77">
        <v>1767</v>
      </c>
      <c r="I77" t="s">
        <v>181</v>
      </c>
      <c r="J77">
        <v>12</v>
      </c>
      <c r="K77">
        <v>19</v>
      </c>
      <c r="L77">
        <v>9</v>
      </c>
      <c r="M77">
        <v>2</v>
      </c>
    </row>
    <row r="78" spans="1:13" x14ac:dyDescent="0.25">
      <c r="A78">
        <v>77</v>
      </c>
      <c r="B78">
        <v>8</v>
      </c>
      <c r="C78">
        <v>24</v>
      </c>
      <c r="D78" s="2">
        <v>41779.58971064815</v>
      </c>
      <c r="E78" t="s">
        <v>179</v>
      </c>
      <c r="F78">
        <v>270</v>
      </c>
      <c r="G78" s="3">
        <v>21</v>
      </c>
      <c r="H78">
        <v>1827</v>
      </c>
      <c r="I78" t="s">
        <v>181</v>
      </c>
      <c r="J78">
        <v>10</v>
      </c>
      <c r="K78">
        <v>17</v>
      </c>
      <c r="L78">
        <v>11</v>
      </c>
      <c r="M78">
        <v>4</v>
      </c>
    </row>
    <row r="79" spans="1:13" x14ac:dyDescent="0.25">
      <c r="A79">
        <v>78</v>
      </c>
      <c r="B79">
        <v>8</v>
      </c>
      <c r="C79">
        <v>26</v>
      </c>
      <c r="D79" s="2">
        <v>41776.908182870371</v>
      </c>
      <c r="E79" t="s">
        <v>179</v>
      </c>
      <c r="F79">
        <v>240</v>
      </c>
      <c r="G79" s="3">
        <v>22</v>
      </c>
      <c r="H79">
        <v>1886</v>
      </c>
      <c r="I79" t="s">
        <v>181</v>
      </c>
      <c r="J79">
        <v>5</v>
      </c>
      <c r="K79">
        <v>9</v>
      </c>
      <c r="L79">
        <v>16</v>
      </c>
      <c r="M79">
        <v>12</v>
      </c>
    </row>
    <row r="80" spans="1:13" x14ac:dyDescent="0.25">
      <c r="A80">
        <v>79</v>
      </c>
      <c r="B80">
        <v>8</v>
      </c>
      <c r="C80">
        <v>17</v>
      </c>
      <c r="D80" s="2">
        <v>41780.153229166666</v>
      </c>
      <c r="E80" t="s">
        <v>179</v>
      </c>
      <c r="F80">
        <v>300</v>
      </c>
      <c r="G80" s="3">
        <v>23</v>
      </c>
      <c r="H80">
        <v>1877</v>
      </c>
      <c r="I80" t="s">
        <v>181</v>
      </c>
      <c r="J80">
        <v>6</v>
      </c>
      <c r="K80">
        <v>14</v>
      </c>
      <c r="L80">
        <v>15</v>
      </c>
      <c r="M80">
        <v>7</v>
      </c>
    </row>
    <row r="81" spans="1:13" x14ac:dyDescent="0.25">
      <c r="A81">
        <v>80</v>
      </c>
      <c r="B81">
        <v>8</v>
      </c>
      <c r="C81">
        <v>29</v>
      </c>
      <c r="D81" s="2">
        <v>41775.67864583333</v>
      </c>
      <c r="E81" t="s">
        <v>179</v>
      </c>
      <c r="F81">
        <v>300</v>
      </c>
      <c r="G81" s="3">
        <v>24</v>
      </c>
      <c r="H81">
        <v>1937</v>
      </c>
      <c r="I81" t="s">
        <v>181</v>
      </c>
      <c r="J81">
        <v>1</v>
      </c>
      <c r="K81">
        <v>11</v>
      </c>
      <c r="L81">
        <v>20</v>
      </c>
      <c r="M81">
        <v>10</v>
      </c>
    </row>
    <row r="82" spans="1:13" x14ac:dyDescent="0.25">
      <c r="A82">
        <v>81</v>
      </c>
      <c r="B82">
        <v>8</v>
      </c>
      <c r="C82">
        <v>30</v>
      </c>
      <c r="D82" s="2">
        <v>41779.966562499998</v>
      </c>
      <c r="E82" t="s">
        <v>179</v>
      </c>
      <c r="F82">
        <v>270</v>
      </c>
      <c r="G82" s="3">
        <v>25</v>
      </c>
      <c r="H82">
        <v>0</v>
      </c>
      <c r="I82" t="s">
        <v>182</v>
      </c>
      <c r="J82">
        <v>0</v>
      </c>
      <c r="K82">
        <v>0</v>
      </c>
      <c r="L82">
        <v>0</v>
      </c>
      <c r="M82">
        <v>0</v>
      </c>
    </row>
    <row r="83" spans="1:13" x14ac:dyDescent="0.25">
      <c r="A83">
        <v>82</v>
      </c>
      <c r="B83">
        <v>8</v>
      </c>
      <c r="C83">
        <v>6</v>
      </c>
      <c r="D83" s="2">
        <v>41775.313935185186</v>
      </c>
      <c r="E83" t="s">
        <v>179</v>
      </c>
      <c r="F83">
        <v>120</v>
      </c>
      <c r="G83" s="3">
        <v>26</v>
      </c>
      <c r="H83">
        <v>1927</v>
      </c>
      <c r="I83" t="s">
        <v>181</v>
      </c>
      <c r="J83">
        <v>2</v>
      </c>
      <c r="K83">
        <v>0</v>
      </c>
      <c r="L83">
        <v>19</v>
      </c>
      <c r="M83">
        <v>21</v>
      </c>
    </row>
    <row r="84" spans="1:13" x14ac:dyDescent="0.25">
      <c r="A84">
        <v>83</v>
      </c>
      <c r="B84">
        <v>8</v>
      </c>
      <c r="C84">
        <v>19</v>
      </c>
      <c r="D84" s="2">
        <v>41774.867847222224</v>
      </c>
      <c r="E84" t="s">
        <v>179</v>
      </c>
      <c r="F84">
        <v>0</v>
      </c>
      <c r="G84" s="3">
        <v>27</v>
      </c>
      <c r="H84">
        <v>1736</v>
      </c>
      <c r="I84" t="s">
        <v>181</v>
      </c>
      <c r="J84">
        <v>16</v>
      </c>
      <c r="K84">
        <v>2</v>
      </c>
      <c r="L84">
        <v>5</v>
      </c>
      <c r="M84">
        <v>19</v>
      </c>
    </row>
    <row r="85" spans="1:13" x14ac:dyDescent="0.25">
      <c r="A85">
        <v>84</v>
      </c>
      <c r="B85">
        <v>9</v>
      </c>
      <c r="C85">
        <v>15</v>
      </c>
      <c r="D85" s="2">
        <v>41781.837708333333</v>
      </c>
      <c r="E85" t="s">
        <v>179</v>
      </c>
      <c r="F85">
        <v>300</v>
      </c>
      <c r="G85" s="3">
        <v>1</v>
      </c>
      <c r="H85">
        <v>3485</v>
      </c>
      <c r="I85" t="s">
        <v>181</v>
      </c>
      <c r="J85">
        <v>18</v>
      </c>
      <c r="K85">
        <v>20</v>
      </c>
      <c r="L85">
        <v>3</v>
      </c>
      <c r="M85">
        <v>1</v>
      </c>
    </row>
    <row r="86" spans="1:13" x14ac:dyDescent="0.25">
      <c r="A86">
        <v>85</v>
      </c>
      <c r="B86">
        <v>9</v>
      </c>
      <c r="C86">
        <v>22</v>
      </c>
      <c r="D86" s="2">
        <v>41788.402025462965</v>
      </c>
      <c r="E86" t="s">
        <v>179</v>
      </c>
      <c r="F86">
        <v>150</v>
      </c>
      <c r="G86" s="3">
        <v>2</v>
      </c>
      <c r="H86">
        <v>0</v>
      </c>
      <c r="I86" t="s">
        <v>182</v>
      </c>
      <c r="J86">
        <v>0</v>
      </c>
      <c r="K86">
        <v>0</v>
      </c>
      <c r="L86">
        <v>0</v>
      </c>
      <c r="M86">
        <v>0</v>
      </c>
    </row>
    <row r="87" spans="1:13" x14ac:dyDescent="0.25">
      <c r="A87">
        <v>86</v>
      </c>
      <c r="B87">
        <v>9</v>
      </c>
      <c r="C87">
        <v>25</v>
      </c>
      <c r="D87" s="2">
        <v>41784.946284722224</v>
      </c>
      <c r="E87" t="s">
        <v>179</v>
      </c>
      <c r="F87">
        <v>150</v>
      </c>
      <c r="G87" s="3">
        <v>3</v>
      </c>
      <c r="H87">
        <v>3400</v>
      </c>
      <c r="I87" t="s">
        <v>181</v>
      </c>
      <c r="J87">
        <v>19</v>
      </c>
      <c r="K87">
        <v>18</v>
      </c>
      <c r="L87">
        <v>2</v>
      </c>
      <c r="M87">
        <v>3</v>
      </c>
    </row>
    <row r="88" spans="1:13" x14ac:dyDescent="0.25">
      <c r="A88">
        <v>87</v>
      </c>
      <c r="B88">
        <v>9</v>
      </c>
      <c r="C88">
        <v>7</v>
      </c>
      <c r="D88" s="2">
        <v>41786.178611111114</v>
      </c>
      <c r="E88" t="s">
        <v>179</v>
      </c>
      <c r="F88">
        <v>120</v>
      </c>
      <c r="G88" s="3">
        <v>4</v>
      </c>
      <c r="H88">
        <v>3358</v>
      </c>
      <c r="I88" t="s">
        <v>181</v>
      </c>
      <c r="J88">
        <v>20</v>
      </c>
      <c r="K88">
        <v>19</v>
      </c>
      <c r="L88">
        <v>1</v>
      </c>
      <c r="M88">
        <v>2</v>
      </c>
    </row>
    <row r="89" spans="1:13" x14ac:dyDescent="0.25">
      <c r="A89">
        <v>88</v>
      </c>
      <c r="B89">
        <v>9</v>
      </c>
      <c r="C89">
        <v>26</v>
      </c>
      <c r="D89" s="2">
        <v>41782.399641203701</v>
      </c>
      <c r="E89" t="s">
        <v>179</v>
      </c>
      <c r="F89">
        <v>0</v>
      </c>
      <c r="G89" s="3">
        <v>5</v>
      </c>
      <c r="H89">
        <v>0</v>
      </c>
      <c r="I89" t="s">
        <v>180</v>
      </c>
      <c r="J89">
        <v>0</v>
      </c>
      <c r="K89">
        <v>0</v>
      </c>
      <c r="L89">
        <v>0</v>
      </c>
      <c r="M89">
        <v>0</v>
      </c>
    </row>
    <row r="90" spans="1:13" x14ac:dyDescent="0.25">
      <c r="A90">
        <v>89</v>
      </c>
      <c r="B90">
        <v>9</v>
      </c>
      <c r="C90">
        <v>27</v>
      </c>
      <c r="D90" s="2">
        <v>41786.103032407409</v>
      </c>
      <c r="E90" t="s">
        <v>179</v>
      </c>
      <c r="F90">
        <v>30</v>
      </c>
      <c r="G90" s="3">
        <v>6</v>
      </c>
      <c r="H90">
        <v>3733</v>
      </c>
      <c r="I90" t="s">
        <v>181</v>
      </c>
      <c r="J90">
        <v>17</v>
      </c>
      <c r="K90">
        <v>17</v>
      </c>
      <c r="L90">
        <v>4</v>
      </c>
      <c r="M90">
        <v>4</v>
      </c>
    </row>
    <row r="91" spans="1:13" x14ac:dyDescent="0.25">
      <c r="A91">
        <v>90</v>
      </c>
      <c r="B91">
        <v>10</v>
      </c>
      <c r="C91">
        <v>16</v>
      </c>
      <c r="D91" s="2">
        <v>41788.584363425929</v>
      </c>
      <c r="E91" t="s">
        <v>179</v>
      </c>
      <c r="F91">
        <v>90</v>
      </c>
      <c r="G91" s="3">
        <v>1</v>
      </c>
      <c r="H91">
        <v>1439</v>
      </c>
      <c r="I91" t="s">
        <v>181</v>
      </c>
      <c r="J91">
        <v>15</v>
      </c>
      <c r="K91">
        <v>15</v>
      </c>
      <c r="L91">
        <v>6</v>
      </c>
      <c r="M91">
        <v>6</v>
      </c>
    </row>
    <row r="92" spans="1:13" x14ac:dyDescent="0.25">
      <c r="A92">
        <v>91</v>
      </c>
      <c r="B92">
        <v>10</v>
      </c>
      <c r="C92">
        <v>26</v>
      </c>
      <c r="D92" s="2">
        <v>41788.511423611111</v>
      </c>
      <c r="E92" t="s">
        <v>179</v>
      </c>
      <c r="F92">
        <v>300</v>
      </c>
      <c r="G92" s="3">
        <v>2</v>
      </c>
      <c r="H92">
        <v>1361</v>
      </c>
      <c r="I92" t="s">
        <v>181</v>
      </c>
      <c r="J92">
        <v>18</v>
      </c>
      <c r="K92">
        <v>20</v>
      </c>
      <c r="L92">
        <v>3</v>
      </c>
      <c r="M92">
        <v>1</v>
      </c>
    </row>
    <row r="93" spans="1:13" x14ac:dyDescent="0.25">
      <c r="A93">
        <v>92</v>
      </c>
      <c r="B93">
        <v>10</v>
      </c>
      <c r="C93">
        <v>29</v>
      </c>
      <c r="D93" s="2">
        <v>41788.438668981478</v>
      </c>
      <c r="E93" t="s">
        <v>179</v>
      </c>
      <c r="F93">
        <v>120</v>
      </c>
      <c r="G93" s="3">
        <v>3</v>
      </c>
      <c r="H93">
        <v>1335</v>
      </c>
      <c r="I93" t="s">
        <v>181</v>
      </c>
      <c r="J93">
        <v>19</v>
      </c>
      <c r="K93">
        <v>18</v>
      </c>
      <c r="L93">
        <v>2</v>
      </c>
      <c r="M93">
        <v>3</v>
      </c>
    </row>
    <row r="94" spans="1:13" x14ac:dyDescent="0.25">
      <c r="A94">
        <v>93</v>
      </c>
      <c r="B94">
        <v>10</v>
      </c>
      <c r="C94">
        <v>24</v>
      </c>
      <c r="D94" s="2">
        <v>41789.366608796299</v>
      </c>
      <c r="E94" t="s">
        <v>179</v>
      </c>
      <c r="F94">
        <v>0</v>
      </c>
      <c r="G94" s="3">
        <v>4</v>
      </c>
      <c r="H94">
        <v>1450</v>
      </c>
      <c r="I94" t="s">
        <v>181</v>
      </c>
      <c r="J94">
        <v>14</v>
      </c>
      <c r="K94">
        <v>14</v>
      </c>
      <c r="L94">
        <v>7</v>
      </c>
      <c r="M94">
        <v>7</v>
      </c>
    </row>
    <row r="95" spans="1:13" x14ac:dyDescent="0.25">
      <c r="A95">
        <v>94</v>
      </c>
      <c r="B95">
        <v>10</v>
      </c>
      <c r="C95">
        <v>19</v>
      </c>
      <c r="D95" s="2">
        <v>41789.262592592589</v>
      </c>
      <c r="E95" t="s">
        <v>179</v>
      </c>
      <c r="F95">
        <v>180</v>
      </c>
      <c r="G95" s="3">
        <v>5</v>
      </c>
      <c r="H95">
        <v>1373</v>
      </c>
      <c r="I95" t="s">
        <v>181</v>
      </c>
      <c r="J95">
        <v>17</v>
      </c>
      <c r="K95">
        <v>19</v>
      </c>
      <c r="L95">
        <v>4</v>
      </c>
      <c r="M95">
        <v>2</v>
      </c>
    </row>
    <row r="96" spans="1:13" x14ac:dyDescent="0.25">
      <c r="A96">
        <v>95</v>
      </c>
      <c r="B96">
        <v>10</v>
      </c>
      <c r="C96">
        <v>23</v>
      </c>
      <c r="D96" s="2">
        <v>41788.189652777779</v>
      </c>
      <c r="E96" t="s">
        <v>179</v>
      </c>
      <c r="F96">
        <v>60</v>
      </c>
      <c r="G96" s="3">
        <v>6</v>
      </c>
      <c r="H96">
        <v>1295</v>
      </c>
      <c r="I96" t="s">
        <v>181</v>
      </c>
      <c r="J96">
        <v>20</v>
      </c>
      <c r="K96">
        <v>17</v>
      </c>
      <c r="L96">
        <v>1</v>
      </c>
      <c r="M96">
        <v>4</v>
      </c>
    </row>
    <row r="97" spans="1:13" x14ac:dyDescent="0.25">
      <c r="A97">
        <v>96</v>
      </c>
      <c r="B97">
        <v>10</v>
      </c>
      <c r="C97">
        <v>8</v>
      </c>
      <c r="D97" s="2">
        <v>41789.825925925928</v>
      </c>
      <c r="E97" t="s">
        <v>179</v>
      </c>
      <c r="F97">
        <v>150</v>
      </c>
      <c r="G97" s="3">
        <v>7</v>
      </c>
      <c r="H97">
        <v>1411</v>
      </c>
      <c r="I97" t="s">
        <v>181</v>
      </c>
      <c r="J97">
        <v>16</v>
      </c>
      <c r="K97">
        <v>16</v>
      </c>
      <c r="L97">
        <v>5</v>
      </c>
      <c r="M97">
        <v>5</v>
      </c>
    </row>
    <row r="98" spans="1:13" x14ac:dyDescent="0.25">
      <c r="A98">
        <v>97</v>
      </c>
      <c r="B98">
        <v>11</v>
      </c>
      <c r="C98">
        <v>6</v>
      </c>
      <c r="D98" s="2">
        <v>41795.090266203704</v>
      </c>
      <c r="E98" t="s">
        <v>179</v>
      </c>
      <c r="F98">
        <v>120</v>
      </c>
      <c r="G98" s="3">
        <v>1</v>
      </c>
      <c r="H98">
        <v>0</v>
      </c>
      <c r="I98" t="s">
        <v>182</v>
      </c>
      <c r="J98">
        <v>0</v>
      </c>
      <c r="K98">
        <v>0</v>
      </c>
      <c r="L98">
        <v>0</v>
      </c>
      <c r="M98">
        <v>0</v>
      </c>
    </row>
    <row r="99" spans="1:13" x14ac:dyDescent="0.25">
      <c r="A99">
        <v>98</v>
      </c>
      <c r="B99">
        <v>11</v>
      </c>
      <c r="C99">
        <v>16</v>
      </c>
      <c r="D99" s="2">
        <v>41797.209305555552</v>
      </c>
      <c r="E99" t="s">
        <v>179</v>
      </c>
      <c r="F99">
        <v>60</v>
      </c>
      <c r="G99" s="3">
        <v>2</v>
      </c>
      <c r="H99">
        <v>1410</v>
      </c>
      <c r="I99" t="s">
        <v>181</v>
      </c>
      <c r="J99">
        <v>8</v>
      </c>
      <c r="K99">
        <v>4</v>
      </c>
      <c r="L99">
        <v>13</v>
      </c>
      <c r="M99">
        <v>17</v>
      </c>
    </row>
    <row r="100" spans="1:13" x14ac:dyDescent="0.25">
      <c r="A100">
        <v>99</v>
      </c>
      <c r="B100">
        <v>11</v>
      </c>
      <c r="C100">
        <v>11</v>
      </c>
      <c r="D100" s="2">
        <v>41794.205509259256</v>
      </c>
      <c r="E100" t="s">
        <v>179</v>
      </c>
      <c r="F100">
        <v>120</v>
      </c>
      <c r="G100" s="3">
        <v>3</v>
      </c>
      <c r="H100">
        <v>1388</v>
      </c>
      <c r="I100" t="s">
        <v>181</v>
      </c>
      <c r="J100">
        <v>10</v>
      </c>
      <c r="K100">
        <v>9</v>
      </c>
      <c r="L100">
        <v>11</v>
      </c>
      <c r="M100">
        <v>12</v>
      </c>
    </row>
    <row r="101" spans="1:13" x14ac:dyDescent="0.25">
      <c r="A101">
        <v>100</v>
      </c>
      <c r="B101">
        <v>11</v>
      </c>
      <c r="C101">
        <v>5</v>
      </c>
      <c r="D101" s="2">
        <v>41799.409849537034</v>
      </c>
      <c r="E101" t="s">
        <v>179</v>
      </c>
      <c r="F101">
        <v>120</v>
      </c>
      <c r="G101" s="3">
        <v>4</v>
      </c>
      <c r="H101">
        <v>1314</v>
      </c>
      <c r="I101" t="s">
        <v>181</v>
      </c>
      <c r="J101">
        <v>19</v>
      </c>
      <c r="K101">
        <v>14</v>
      </c>
      <c r="L101">
        <v>2</v>
      </c>
      <c r="M101">
        <v>7</v>
      </c>
    </row>
    <row r="102" spans="1:13" x14ac:dyDescent="0.25">
      <c r="A102">
        <v>101</v>
      </c>
      <c r="B102">
        <v>11</v>
      </c>
      <c r="C102">
        <v>12</v>
      </c>
      <c r="D102" s="2">
        <v>41796.323217592595</v>
      </c>
      <c r="E102" t="s">
        <v>179</v>
      </c>
      <c r="F102">
        <v>180</v>
      </c>
      <c r="G102" s="3">
        <v>5</v>
      </c>
      <c r="H102">
        <v>0</v>
      </c>
      <c r="I102" t="s">
        <v>182</v>
      </c>
      <c r="J102">
        <v>0</v>
      </c>
      <c r="K102">
        <v>0</v>
      </c>
      <c r="L102">
        <v>0</v>
      </c>
      <c r="M102">
        <v>0</v>
      </c>
    </row>
    <row r="103" spans="1:13" x14ac:dyDescent="0.25">
      <c r="A103">
        <v>102</v>
      </c>
      <c r="B103">
        <v>11</v>
      </c>
      <c r="C103">
        <v>23</v>
      </c>
      <c r="D103" s="2">
        <v>41800.219212962962</v>
      </c>
      <c r="E103" t="s">
        <v>179</v>
      </c>
      <c r="F103">
        <v>240</v>
      </c>
      <c r="G103" s="3">
        <v>6</v>
      </c>
      <c r="H103">
        <v>1501</v>
      </c>
      <c r="I103" t="s">
        <v>181</v>
      </c>
      <c r="J103">
        <v>0</v>
      </c>
      <c r="K103">
        <v>10</v>
      </c>
      <c r="L103">
        <v>22</v>
      </c>
      <c r="M103">
        <v>11</v>
      </c>
    </row>
    <row r="104" spans="1:13" x14ac:dyDescent="0.25">
      <c r="A104">
        <v>103</v>
      </c>
      <c r="B104">
        <v>11</v>
      </c>
      <c r="C104">
        <v>24</v>
      </c>
      <c r="D104" s="2">
        <v>41797.853182870371</v>
      </c>
      <c r="E104" t="s">
        <v>179</v>
      </c>
      <c r="F104">
        <v>300</v>
      </c>
      <c r="G104" s="3">
        <v>7</v>
      </c>
      <c r="H104">
        <v>1411</v>
      </c>
      <c r="I104" t="s">
        <v>181</v>
      </c>
      <c r="J104">
        <v>7</v>
      </c>
      <c r="K104">
        <v>17</v>
      </c>
      <c r="L104">
        <v>14</v>
      </c>
      <c r="M104">
        <v>4</v>
      </c>
    </row>
    <row r="105" spans="1:13" x14ac:dyDescent="0.25">
      <c r="A105">
        <v>104</v>
      </c>
      <c r="B105">
        <v>11</v>
      </c>
      <c r="C105">
        <v>25</v>
      </c>
      <c r="D105" s="2">
        <v>41796.433680555558</v>
      </c>
      <c r="E105" t="s">
        <v>179</v>
      </c>
      <c r="F105">
        <v>60</v>
      </c>
      <c r="G105" s="3">
        <v>8</v>
      </c>
      <c r="H105">
        <v>1467</v>
      </c>
      <c r="I105" t="s">
        <v>181</v>
      </c>
      <c r="J105">
        <v>0</v>
      </c>
      <c r="K105">
        <v>1</v>
      </c>
      <c r="L105">
        <v>21</v>
      </c>
      <c r="M105">
        <v>20</v>
      </c>
    </row>
    <row r="106" spans="1:13" x14ac:dyDescent="0.25">
      <c r="A106">
        <v>105</v>
      </c>
      <c r="B106">
        <v>11</v>
      </c>
      <c r="C106">
        <v>9</v>
      </c>
      <c r="D106" s="2">
        <v>41795.014178240737</v>
      </c>
      <c r="E106" t="s">
        <v>179</v>
      </c>
      <c r="F106">
        <v>120</v>
      </c>
      <c r="G106" s="3">
        <v>9</v>
      </c>
      <c r="H106">
        <v>0</v>
      </c>
      <c r="I106" t="s">
        <v>180</v>
      </c>
      <c r="J106">
        <v>0</v>
      </c>
      <c r="K106">
        <v>0</v>
      </c>
      <c r="L106">
        <v>0</v>
      </c>
      <c r="M106">
        <v>0</v>
      </c>
    </row>
    <row r="107" spans="1:13" x14ac:dyDescent="0.25">
      <c r="A107">
        <v>106</v>
      </c>
      <c r="B107">
        <v>11</v>
      </c>
      <c r="C107">
        <v>14</v>
      </c>
      <c r="D107" s="2">
        <v>41799.372662037036</v>
      </c>
      <c r="E107" t="s">
        <v>179</v>
      </c>
      <c r="F107">
        <v>150</v>
      </c>
      <c r="G107" s="3">
        <v>10</v>
      </c>
      <c r="H107">
        <v>0</v>
      </c>
      <c r="I107" t="s">
        <v>180</v>
      </c>
      <c r="J107">
        <v>0</v>
      </c>
      <c r="K107">
        <v>0</v>
      </c>
      <c r="L107">
        <v>0</v>
      </c>
      <c r="M107">
        <v>0</v>
      </c>
    </row>
    <row r="108" spans="1:13" x14ac:dyDescent="0.25">
      <c r="A108">
        <v>107</v>
      </c>
      <c r="B108">
        <v>11</v>
      </c>
      <c r="C108">
        <v>26</v>
      </c>
      <c r="D108" s="2">
        <v>41798.55667824074</v>
      </c>
      <c r="E108" t="s">
        <v>179</v>
      </c>
      <c r="F108">
        <v>270</v>
      </c>
      <c r="G108" s="3">
        <v>11</v>
      </c>
      <c r="H108">
        <v>1357</v>
      </c>
      <c r="I108" t="s">
        <v>181</v>
      </c>
      <c r="J108">
        <v>14</v>
      </c>
      <c r="K108">
        <v>19</v>
      </c>
      <c r="L108">
        <v>7</v>
      </c>
      <c r="M108">
        <v>2</v>
      </c>
    </row>
    <row r="109" spans="1:13" x14ac:dyDescent="0.25">
      <c r="A109">
        <v>108</v>
      </c>
      <c r="B109">
        <v>11</v>
      </c>
      <c r="C109">
        <v>27</v>
      </c>
      <c r="D109" s="2">
        <v>41800.539004629631</v>
      </c>
      <c r="E109" t="s">
        <v>179</v>
      </c>
      <c r="F109">
        <v>120</v>
      </c>
      <c r="G109" s="3">
        <v>12</v>
      </c>
      <c r="H109">
        <v>1341</v>
      </c>
      <c r="I109" t="s">
        <v>181</v>
      </c>
      <c r="J109">
        <v>16</v>
      </c>
      <c r="K109">
        <v>13</v>
      </c>
      <c r="L109">
        <v>5</v>
      </c>
      <c r="M109">
        <v>8</v>
      </c>
    </row>
    <row r="110" spans="1:13" x14ac:dyDescent="0.25">
      <c r="A110">
        <v>109</v>
      </c>
      <c r="B110">
        <v>11</v>
      </c>
      <c r="C110">
        <v>18</v>
      </c>
      <c r="D110" s="2">
        <v>41794.729479166665</v>
      </c>
      <c r="E110" t="s">
        <v>179</v>
      </c>
      <c r="F110">
        <v>90</v>
      </c>
      <c r="G110" s="3">
        <v>13</v>
      </c>
      <c r="H110">
        <v>0</v>
      </c>
      <c r="I110" t="s">
        <v>182</v>
      </c>
      <c r="J110">
        <v>0</v>
      </c>
      <c r="K110">
        <v>0</v>
      </c>
      <c r="L110">
        <v>0</v>
      </c>
      <c r="M110">
        <v>0</v>
      </c>
    </row>
    <row r="111" spans="1:13" x14ac:dyDescent="0.25">
      <c r="A111">
        <v>110</v>
      </c>
      <c r="B111">
        <v>11</v>
      </c>
      <c r="C111">
        <v>13</v>
      </c>
      <c r="D111" s="2">
        <v>41793.498668981483</v>
      </c>
      <c r="E111" t="s">
        <v>179</v>
      </c>
      <c r="F111">
        <v>0</v>
      </c>
      <c r="G111" s="3">
        <v>14</v>
      </c>
      <c r="H111">
        <v>1423</v>
      </c>
      <c r="I111" t="s">
        <v>181</v>
      </c>
      <c r="J111">
        <v>5</v>
      </c>
      <c r="K111">
        <v>0</v>
      </c>
      <c r="L111">
        <v>16</v>
      </c>
      <c r="M111">
        <v>21</v>
      </c>
    </row>
    <row r="112" spans="1:13" x14ac:dyDescent="0.25">
      <c r="A112">
        <v>111</v>
      </c>
      <c r="B112">
        <v>11</v>
      </c>
      <c r="C112">
        <v>31</v>
      </c>
      <c r="D112" s="2">
        <v>41800.008599537039</v>
      </c>
      <c r="E112" t="s">
        <v>179</v>
      </c>
      <c r="F112">
        <v>60</v>
      </c>
      <c r="G112" s="3">
        <v>15</v>
      </c>
      <c r="H112">
        <v>1411</v>
      </c>
      <c r="I112" t="s">
        <v>181</v>
      </c>
      <c r="J112">
        <v>7</v>
      </c>
      <c r="K112">
        <v>3</v>
      </c>
      <c r="L112">
        <v>14</v>
      </c>
      <c r="M112">
        <v>18</v>
      </c>
    </row>
    <row r="113" spans="1:13" x14ac:dyDescent="0.25">
      <c r="A113">
        <v>112</v>
      </c>
      <c r="B113">
        <v>11</v>
      </c>
      <c r="C113">
        <v>20</v>
      </c>
      <c r="D113" s="2">
        <v>41800.257604166669</v>
      </c>
      <c r="E113" t="s">
        <v>179</v>
      </c>
      <c r="F113">
        <v>150</v>
      </c>
      <c r="G113" s="3">
        <v>16</v>
      </c>
      <c r="H113">
        <v>1451</v>
      </c>
      <c r="I113" t="s">
        <v>181</v>
      </c>
      <c r="J113">
        <v>2</v>
      </c>
      <c r="K113">
        <v>7</v>
      </c>
      <c r="L113">
        <v>19</v>
      </c>
      <c r="M113">
        <v>14</v>
      </c>
    </row>
    <row r="114" spans="1:13" x14ac:dyDescent="0.25">
      <c r="A114">
        <v>113</v>
      </c>
      <c r="B114">
        <v>11</v>
      </c>
      <c r="C114">
        <v>29</v>
      </c>
      <c r="D114" s="2">
        <v>41797.255046296297</v>
      </c>
      <c r="E114" t="s">
        <v>179</v>
      </c>
      <c r="F114">
        <v>270</v>
      </c>
      <c r="G114" s="3">
        <v>17</v>
      </c>
      <c r="H114">
        <v>1387</v>
      </c>
      <c r="I114" t="s">
        <v>181</v>
      </c>
      <c r="J114">
        <v>11</v>
      </c>
      <c r="K114">
        <v>16</v>
      </c>
      <c r="L114">
        <v>10</v>
      </c>
      <c r="M114">
        <v>5</v>
      </c>
    </row>
    <row r="115" spans="1:13" x14ac:dyDescent="0.25">
      <c r="A115">
        <v>114</v>
      </c>
      <c r="B115">
        <v>11</v>
      </c>
      <c r="C115">
        <v>8</v>
      </c>
      <c r="D115" s="2">
        <v>41796.515162037038</v>
      </c>
      <c r="E115" t="s">
        <v>179</v>
      </c>
      <c r="F115">
        <v>30</v>
      </c>
      <c r="G115" s="3">
        <v>18</v>
      </c>
      <c r="H115">
        <v>0</v>
      </c>
      <c r="I115" t="s">
        <v>182</v>
      </c>
      <c r="J115">
        <v>0</v>
      </c>
      <c r="K115">
        <v>0</v>
      </c>
      <c r="L115">
        <v>0</v>
      </c>
      <c r="M115">
        <v>0</v>
      </c>
    </row>
    <row r="116" spans="1:13" x14ac:dyDescent="0.25">
      <c r="A116">
        <v>115</v>
      </c>
      <c r="B116">
        <v>11</v>
      </c>
      <c r="C116">
        <v>2</v>
      </c>
      <c r="D116" s="2">
        <v>41795.407164351855</v>
      </c>
      <c r="E116" t="s">
        <v>179</v>
      </c>
      <c r="F116">
        <v>120</v>
      </c>
      <c r="G116" s="3">
        <v>19</v>
      </c>
      <c r="H116">
        <v>1365</v>
      </c>
      <c r="I116" t="s">
        <v>181</v>
      </c>
      <c r="J116">
        <v>13</v>
      </c>
      <c r="K116">
        <v>12</v>
      </c>
      <c r="L116">
        <v>8</v>
      </c>
      <c r="M116">
        <v>9</v>
      </c>
    </row>
    <row r="117" spans="1:13" x14ac:dyDescent="0.25">
      <c r="A117">
        <v>116</v>
      </c>
      <c r="B117">
        <v>11</v>
      </c>
      <c r="C117">
        <v>21</v>
      </c>
      <c r="D117" s="2">
        <v>41797.293437499997</v>
      </c>
      <c r="E117" t="s">
        <v>179</v>
      </c>
      <c r="F117">
        <v>300</v>
      </c>
      <c r="G117" s="3">
        <v>20</v>
      </c>
      <c r="H117">
        <v>1338</v>
      </c>
      <c r="I117" t="s">
        <v>181</v>
      </c>
      <c r="J117">
        <v>17</v>
      </c>
      <c r="K117">
        <v>20</v>
      </c>
      <c r="L117">
        <v>4</v>
      </c>
      <c r="M117">
        <v>1</v>
      </c>
    </row>
    <row r="118" spans="1:13" x14ac:dyDescent="0.25">
      <c r="A118">
        <v>117</v>
      </c>
      <c r="B118">
        <v>11</v>
      </c>
      <c r="C118">
        <v>28</v>
      </c>
      <c r="D118" s="2">
        <v>41796.220682870371</v>
      </c>
      <c r="E118" t="s">
        <v>179</v>
      </c>
      <c r="F118">
        <v>60</v>
      </c>
      <c r="G118" s="3">
        <v>21</v>
      </c>
      <c r="H118">
        <v>1456</v>
      </c>
      <c r="I118" t="s">
        <v>181</v>
      </c>
      <c r="J118">
        <v>1</v>
      </c>
      <c r="K118">
        <v>2</v>
      </c>
      <c r="L118">
        <v>20</v>
      </c>
      <c r="M118">
        <v>19</v>
      </c>
    </row>
    <row r="119" spans="1:13" x14ac:dyDescent="0.25">
      <c r="A119">
        <v>118</v>
      </c>
      <c r="B119">
        <v>11</v>
      </c>
      <c r="C119">
        <v>30</v>
      </c>
      <c r="D119" s="2">
        <v>41798.147233796299</v>
      </c>
      <c r="E119" t="s">
        <v>179</v>
      </c>
      <c r="F119">
        <v>270</v>
      </c>
      <c r="G119" s="3">
        <v>22</v>
      </c>
      <c r="H119">
        <v>1377</v>
      </c>
      <c r="I119" t="s">
        <v>181</v>
      </c>
      <c r="J119">
        <v>12</v>
      </c>
      <c r="K119">
        <v>18</v>
      </c>
      <c r="L119">
        <v>9</v>
      </c>
      <c r="M119">
        <v>3</v>
      </c>
    </row>
    <row r="120" spans="1:13" x14ac:dyDescent="0.25">
      <c r="A120">
        <v>119</v>
      </c>
      <c r="B120">
        <v>11</v>
      </c>
      <c r="C120">
        <v>17</v>
      </c>
      <c r="D120" s="2">
        <v>41798.075682870367</v>
      </c>
      <c r="E120" t="s">
        <v>179</v>
      </c>
      <c r="F120">
        <v>120</v>
      </c>
      <c r="G120" s="3">
        <v>23</v>
      </c>
      <c r="H120">
        <v>0</v>
      </c>
      <c r="I120" t="s">
        <v>180</v>
      </c>
      <c r="J120">
        <v>0</v>
      </c>
      <c r="K120">
        <v>0</v>
      </c>
      <c r="L120">
        <v>0</v>
      </c>
      <c r="M120">
        <v>0</v>
      </c>
    </row>
    <row r="121" spans="1:13" x14ac:dyDescent="0.25">
      <c r="A121">
        <v>120</v>
      </c>
      <c r="B121">
        <v>11</v>
      </c>
      <c r="C121">
        <v>15</v>
      </c>
      <c r="D121" s="2">
        <v>41800.940937500003</v>
      </c>
      <c r="E121" t="s">
        <v>179</v>
      </c>
      <c r="F121">
        <v>0</v>
      </c>
      <c r="G121" s="3">
        <v>24</v>
      </c>
      <c r="H121">
        <v>1431</v>
      </c>
      <c r="I121" t="s">
        <v>181</v>
      </c>
      <c r="J121">
        <v>4</v>
      </c>
      <c r="K121">
        <v>0</v>
      </c>
      <c r="L121">
        <v>17</v>
      </c>
      <c r="M121">
        <v>22</v>
      </c>
    </row>
    <row r="122" spans="1:13" x14ac:dyDescent="0.25">
      <c r="A122">
        <v>121</v>
      </c>
      <c r="B122">
        <v>11</v>
      </c>
      <c r="C122">
        <v>1</v>
      </c>
      <c r="D122" s="2">
        <v>41799.824212962965</v>
      </c>
      <c r="E122" t="s">
        <v>179</v>
      </c>
      <c r="F122">
        <v>90</v>
      </c>
      <c r="G122" s="3">
        <v>25</v>
      </c>
      <c r="H122">
        <v>1342</v>
      </c>
      <c r="I122" t="s">
        <v>181</v>
      </c>
      <c r="J122">
        <v>15</v>
      </c>
      <c r="K122">
        <v>11</v>
      </c>
      <c r="L122">
        <v>6</v>
      </c>
      <c r="M122">
        <v>10</v>
      </c>
    </row>
    <row r="123" spans="1:13" x14ac:dyDescent="0.25">
      <c r="A123">
        <v>122</v>
      </c>
      <c r="B123">
        <v>11</v>
      </c>
      <c r="C123">
        <v>22</v>
      </c>
      <c r="D123" s="2">
        <v>41796.404710648145</v>
      </c>
      <c r="E123" t="s">
        <v>179</v>
      </c>
      <c r="F123">
        <v>270</v>
      </c>
      <c r="G123" s="3">
        <v>26</v>
      </c>
      <c r="H123">
        <v>1398</v>
      </c>
      <c r="I123" t="s">
        <v>181</v>
      </c>
      <c r="J123">
        <v>9</v>
      </c>
      <c r="K123">
        <v>15</v>
      </c>
      <c r="L123">
        <v>12</v>
      </c>
      <c r="M123">
        <v>6</v>
      </c>
    </row>
    <row r="124" spans="1:13" x14ac:dyDescent="0.25">
      <c r="A124">
        <v>123</v>
      </c>
      <c r="B124">
        <v>11</v>
      </c>
      <c r="C124">
        <v>10</v>
      </c>
      <c r="D124" s="2">
        <v>41795.027569444443</v>
      </c>
      <c r="E124" t="s">
        <v>179</v>
      </c>
      <c r="F124">
        <v>0</v>
      </c>
      <c r="G124" s="3">
        <v>27</v>
      </c>
      <c r="H124">
        <v>1309</v>
      </c>
      <c r="I124" t="s">
        <v>181</v>
      </c>
      <c r="J124">
        <v>20</v>
      </c>
      <c r="K124">
        <v>6</v>
      </c>
      <c r="L124">
        <v>1</v>
      </c>
      <c r="M124">
        <v>15</v>
      </c>
    </row>
    <row r="125" spans="1:13" x14ac:dyDescent="0.25">
      <c r="A125">
        <v>124</v>
      </c>
      <c r="B125">
        <v>11</v>
      </c>
      <c r="C125">
        <v>4</v>
      </c>
      <c r="D125" s="2">
        <v>41798.402881944443</v>
      </c>
      <c r="E125" t="s">
        <v>179</v>
      </c>
      <c r="F125">
        <v>30</v>
      </c>
      <c r="G125" s="3">
        <v>28</v>
      </c>
      <c r="H125">
        <v>1326</v>
      </c>
      <c r="I125" t="s">
        <v>181</v>
      </c>
      <c r="J125">
        <v>18</v>
      </c>
      <c r="K125">
        <v>8</v>
      </c>
      <c r="L125">
        <v>3</v>
      </c>
      <c r="M125">
        <v>13</v>
      </c>
    </row>
    <row r="126" spans="1:13" x14ac:dyDescent="0.25">
      <c r="A126">
        <v>125</v>
      </c>
      <c r="B126">
        <v>11</v>
      </c>
      <c r="C126">
        <v>19</v>
      </c>
      <c r="D126" s="2">
        <v>41798.025046296294</v>
      </c>
      <c r="E126" t="s">
        <v>179</v>
      </c>
      <c r="F126">
        <v>120</v>
      </c>
      <c r="G126" s="3">
        <v>29</v>
      </c>
      <c r="H126">
        <v>1434</v>
      </c>
      <c r="I126" t="s">
        <v>181</v>
      </c>
      <c r="J126">
        <v>3</v>
      </c>
      <c r="K126">
        <v>5</v>
      </c>
      <c r="L126">
        <v>18</v>
      </c>
      <c r="M126">
        <v>16</v>
      </c>
    </row>
    <row r="127" spans="1:13" x14ac:dyDescent="0.25">
      <c r="A127">
        <v>126</v>
      </c>
      <c r="B127">
        <v>12</v>
      </c>
      <c r="C127">
        <v>23</v>
      </c>
      <c r="D127" s="2">
        <v>41807.854363425926</v>
      </c>
      <c r="E127" t="s">
        <v>179</v>
      </c>
      <c r="F127">
        <v>180</v>
      </c>
      <c r="G127" s="3">
        <v>1</v>
      </c>
      <c r="H127">
        <v>1396</v>
      </c>
      <c r="I127" t="s">
        <v>181</v>
      </c>
      <c r="J127">
        <v>17</v>
      </c>
      <c r="K127">
        <v>19</v>
      </c>
      <c r="L127">
        <v>4</v>
      </c>
      <c r="M127">
        <v>2</v>
      </c>
    </row>
    <row r="128" spans="1:13" x14ac:dyDescent="0.25">
      <c r="A128">
        <v>127</v>
      </c>
      <c r="B128">
        <v>12</v>
      </c>
      <c r="C128">
        <v>13</v>
      </c>
      <c r="D128" s="2">
        <v>41806.477222222224</v>
      </c>
      <c r="E128" t="s">
        <v>179</v>
      </c>
      <c r="F128">
        <v>60</v>
      </c>
      <c r="G128" s="3">
        <v>2</v>
      </c>
      <c r="H128">
        <v>1309</v>
      </c>
      <c r="I128" t="s">
        <v>181</v>
      </c>
      <c r="J128">
        <v>20</v>
      </c>
      <c r="K128">
        <v>16</v>
      </c>
      <c r="L128">
        <v>1</v>
      </c>
      <c r="M128">
        <v>5</v>
      </c>
    </row>
    <row r="129" spans="1:13" x14ac:dyDescent="0.25">
      <c r="A129">
        <v>128</v>
      </c>
      <c r="B129">
        <v>12</v>
      </c>
      <c r="C129">
        <v>12</v>
      </c>
      <c r="D129" s="2">
        <v>41805.068831018521</v>
      </c>
      <c r="E129" t="s">
        <v>179</v>
      </c>
      <c r="F129">
        <v>120</v>
      </c>
      <c r="G129" s="3">
        <v>3</v>
      </c>
      <c r="H129">
        <v>1363</v>
      </c>
      <c r="I129" t="s">
        <v>181</v>
      </c>
      <c r="J129">
        <v>18</v>
      </c>
      <c r="K129">
        <v>17</v>
      </c>
      <c r="L129">
        <v>3</v>
      </c>
      <c r="M129">
        <v>4</v>
      </c>
    </row>
    <row r="130" spans="1:13" x14ac:dyDescent="0.25">
      <c r="A130">
        <v>129</v>
      </c>
      <c r="B130">
        <v>12</v>
      </c>
      <c r="C130">
        <v>11</v>
      </c>
      <c r="D130" s="2">
        <v>41802.650023148148</v>
      </c>
      <c r="E130" t="s">
        <v>179</v>
      </c>
      <c r="F130">
        <v>240</v>
      </c>
      <c r="G130" s="3">
        <v>4</v>
      </c>
      <c r="H130">
        <v>1469</v>
      </c>
      <c r="I130" t="s">
        <v>181</v>
      </c>
      <c r="J130">
        <v>15</v>
      </c>
      <c r="K130">
        <v>18</v>
      </c>
      <c r="L130">
        <v>6</v>
      </c>
      <c r="M130">
        <v>3</v>
      </c>
    </row>
    <row r="131" spans="1:13" x14ac:dyDescent="0.25">
      <c r="A131">
        <v>130</v>
      </c>
      <c r="B131">
        <v>12</v>
      </c>
      <c r="C131">
        <v>9</v>
      </c>
      <c r="D131" s="2">
        <v>41801.522881944446</v>
      </c>
      <c r="E131" t="s">
        <v>179</v>
      </c>
      <c r="F131">
        <v>300</v>
      </c>
      <c r="G131" s="3">
        <v>5</v>
      </c>
      <c r="H131">
        <v>0</v>
      </c>
      <c r="I131" t="s">
        <v>182</v>
      </c>
      <c r="J131">
        <v>0</v>
      </c>
      <c r="K131">
        <v>0</v>
      </c>
      <c r="L131">
        <v>0</v>
      </c>
      <c r="M131">
        <v>0</v>
      </c>
    </row>
    <row r="132" spans="1:13" x14ac:dyDescent="0.25">
      <c r="A132">
        <v>131</v>
      </c>
      <c r="B132">
        <v>12</v>
      </c>
      <c r="C132">
        <v>31</v>
      </c>
      <c r="D132" s="2">
        <v>41800.621898148151</v>
      </c>
      <c r="E132" t="s">
        <v>179</v>
      </c>
      <c r="F132">
        <v>180</v>
      </c>
      <c r="G132" s="3">
        <v>6</v>
      </c>
      <c r="H132">
        <v>1472</v>
      </c>
      <c r="I132" t="s">
        <v>181</v>
      </c>
      <c r="J132">
        <v>14</v>
      </c>
      <c r="K132">
        <v>15</v>
      </c>
      <c r="L132">
        <v>7</v>
      </c>
      <c r="M132">
        <v>6</v>
      </c>
    </row>
    <row r="133" spans="1:13" x14ac:dyDescent="0.25">
      <c r="A133">
        <v>132</v>
      </c>
      <c r="B133">
        <v>12</v>
      </c>
      <c r="C133">
        <v>24</v>
      </c>
      <c r="D133" s="2">
        <v>41804.521157407406</v>
      </c>
      <c r="E133" t="s">
        <v>179</v>
      </c>
      <c r="F133">
        <v>150</v>
      </c>
      <c r="G133" s="3">
        <v>7</v>
      </c>
      <c r="H133">
        <v>1338</v>
      </c>
      <c r="I133" t="s">
        <v>181</v>
      </c>
      <c r="J133">
        <v>19</v>
      </c>
      <c r="K133">
        <v>20</v>
      </c>
      <c r="L133">
        <v>2</v>
      </c>
      <c r="M133">
        <v>1</v>
      </c>
    </row>
    <row r="134" spans="1:13" x14ac:dyDescent="0.25">
      <c r="A134">
        <v>133</v>
      </c>
      <c r="B134">
        <v>12</v>
      </c>
      <c r="C134">
        <v>16</v>
      </c>
      <c r="D134" s="2">
        <v>41807.37945601852</v>
      </c>
      <c r="E134" t="s">
        <v>179</v>
      </c>
      <c r="F134">
        <v>120</v>
      </c>
      <c r="G134" s="3">
        <v>8</v>
      </c>
      <c r="H134">
        <v>1449</v>
      </c>
      <c r="I134" t="s">
        <v>181</v>
      </c>
      <c r="J134">
        <v>16</v>
      </c>
      <c r="K134">
        <v>14</v>
      </c>
      <c r="L134">
        <v>5</v>
      </c>
      <c r="M134">
        <v>7</v>
      </c>
    </row>
    <row r="135" spans="1:13" x14ac:dyDescent="0.25">
      <c r="A135">
        <v>134</v>
      </c>
      <c r="B135">
        <v>12</v>
      </c>
      <c r="C135">
        <v>19</v>
      </c>
      <c r="D135" s="2">
        <v>41803.029594907406</v>
      </c>
      <c r="E135" t="s">
        <v>179</v>
      </c>
      <c r="F135">
        <v>120</v>
      </c>
      <c r="G135" s="3">
        <v>9</v>
      </c>
      <c r="H135">
        <v>0</v>
      </c>
      <c r="I135" t="s">
        <v>182</v>
      </c>
      <c r="J135">
        <v>0</v>
      </c>
      <c r="K135">
        <v>0</v>
      </c>
      <c r="L135">
        <v>0</v>
      </c>
      <c r="M135">
        <v>0</v>
      </c>
    </row>
    <row r="136" spans="1:13" x14ac:dyDescent="0.25">
      <c r="A136">
        <v>135</v>
      </c>
      <c r="B136">
        <v>12</v>
      </c>
      <c r="C136">
        <v>6</v>
      </c>
      <c r="D136" s="2">
        <v>41803.704560185186</v>
      </c>
      <c r="E136" t="s">
        <v>179</v>
      </c>
      <c r="F136">
        <v>150</v>
      </c>
      <c r="G136" s="3">
        <v>10</v>
      </c>
      <c r="H136">
        <v>0</v>
      </c>
      <c r="I136" t="s">
        <v>180</v>
      </c>
      <c r="J136">
        <v>0</v>
      </c>
      <c r="K136">
        <v>0</v>
      </c>
      <c r="L136">
        <v>0</v>
      </c>
      <c r="M136">
        <v>0</v>
      </c>
    </row>
    <row r="137" spans="1:13" x14ac:dyDescent="0.25">
      <c r="A137">
        <v>136</v>
      </c>
      <c r="B137">
        <v>13</v>
      </c>
      <c r="C137">
        <v>27</v>
      </c>
      <c r="D137" s="2">
        <v>41813.483460648145</v>
      </c>
      <c r="E137" t="s">
        <v>179</v>
      </c>
      <c r="F137">
        <v>120</v>
      </c>
      <c r="G137" s="3">
        <v>1</v>
      </c>
      <c r="H137">
        <v>1914</v>
      </c>
      <c r="I137" t="s">
        <v>181</v>
      </c>
      <c r="J137">
        <v>4</v>
      </c>
      <c r="K137">
        <v>5</v>
      </c>
      <c r="L137">
        <v>17</v>
      </c>
      <c r="M137">
        <v>16</v>
      </c>
    </row>
    <row r="138" spans="1:13" x14ac:dyDescent="0.25">
      <c r="A138">
        <v>137</v>
      </c>
      <c r="B138">
        <v>13</v>
      </c>
      <c r="C138">
        <v>16</v>
      </c>
      <c r="D138" s="2">
        <v>41815.674629629626</v>
      </c>
      <c r="E138" t="s">
        <v>179</v>
      </c>
      <c r="F138">
        <v>90</v>
      </c>
      <c r="G138" s="3">
        <v>2</v>
      </c>
      <c r="H138">
        <v>0</v>
      </c>
      <c r="I138" t="s">
        <v>182</v>
      </c>
      <c r="J138">
        <v>0</v>
      </c>
      <c r="K138">
        <v>0</v>
      </c>
      <c r="L138">
        <v>0</v>
      </c>
      <c r="M138">
        <v>0</v>
      </c>
    </row>
    <row r="139" spans="1:13" x14ac:dyDescent="0.25">
      <c r="A139">
        <v>138</v>
      </c>
      <c r="B139">
        <v>13</v>
      </c>
      <c r="C139">
        <v>1</v>
      </c>
      <c r="D139" s="2">
        <v>41814.111631944441</v>
      </c>
      <c r="E139" t="s">
        <v>179</v>
      </c>
      <c r="F139">
        <v>0</v>
      </c>
      <c r="G139" s="3">
        <v>3</v>
      </c>
      <c r="H139">
        <v>0</v>
      </c>
      <c r="I139" t="s">
        <v>182</v>
      </c>
      <c r="J139">
        <v>0</v>
      </c>
      <c r="K139">
        <v>0</v>
      </c>
      <c r="L139">
        <v>0</v>
      </c>
      <c r="M139">
        <v>0</v>
      </c>
    </row>
    <row r="140" spans="1:13" x14ac:dyDescent="0.25">
      <c r="A140">
        <v>139</v>
      </c>
      <c r="B140">
        <v>13</v>
      </c>
      <c r="C140">
        <v>13</v>
      </c>
      <c r="D140" s="2">
        <v>41815.6408912037</v>
      </c>
      <c r="E140" t="s">
        <v>179</v>
      </c>
      <c r="F140">
        <v>90</v>
      </c>
      <c r="G140" s="3">
        <v>4</v>
      </c>
      <c r="H140">
        <v>0</v>
      </c>
      <c r="I140" t="s">
        <v>180</v>
      </c>
      <c r="J140">
        <v>0</v>
      </c>
      <c r="K140">
        <v>0</v>
      </c>
      <c r="L140">
        <v>0</v>
      </c>
      <c r="M140">
        <v>0</v>
      </c>
    </row>
    <row r="141" spans="1:13" x14ac:dyDescent="0.25">
      <c r="A141">
        <v>140</v>
      </c>
      <c r="B141">
        <v>13</v>
      </c>
      <c r="C141">
        <v>23</v>
      </c>
      <c r="D141" s="2">
        <v>41815.492743055554</v>
      </c>
      <c r="E141" t="s">
        <v>179</v>
      </c>
      <c r="F141">
        <v>180</v>
      </c>
      <c r="G141" s="3">
        <v>5</v>
      </c>
      <c r="H141">
        <v>0</v>
      </c>
      <c r="I141" t="s">
        <v>182</v>
      </c>
      <c r="J141">
        <v>0</v>
      </c>
      <c r="K141">
        <v>0</v>
      </c>
      <c r="L141">
        <v>0</v>
      </c>
      <c r="M141">
        <v>0</v>
      </c>
    </row>
    <row r="142" spans="1:13" x14ac:dyDescent="0.25">
      <c r="A142">
        <v>141</v>
      </c>
      <c r="B142">
        <v>13</v>
      </c>
      <c r="C142">
        <v>9</v>
      </c>
      <c r="D142" s="2">
        <v>41815.711817129632</v>
      </c>
      <c r="E142" t="s">
        <v>179</v>
      </c>
      <c r="F142">
        <v>120</v>
      </c>
      <c r="G142" s="3">
        <v>6</v>
      </c>
      <c r="H142">
        <v>1759</v>
      </c>
      <c r="I142" t="s">
        <v>181</v>
      </c>
      <c r="J142">
        <v>17</v>
      </c>
      <c r="K142">
        <v>14</v>
      </c>
      <c r="L142">
        <v>4</v>
      </c>
      <c r="M142">
        <v>7</v>
      </c>
    </row>
    <row r="143" spans="1:13" x14ac:dyDescent="0.25">
      <c r="A143">
        <v>142</v>
      </c>
      <c r="B143">
        <v>13</v>
      </c>
      <c r="C143">
        <v>7</v>
      </c>
      <c r="D143" s="2">
        <v>41808.362476851849</v>
      </c>
      <c r="E143" t="s">
        <v>179</v>
      </c>
      <c r="F143">
        <v>90</v>
      </c>
      <c r="G143" s="3">
        <v>7</v>
      </c>
      <c r="H143">
        <v>1906</v>
      </c>
      <c r="I143" t="s">
        <v>181</v>
      </c>
      <c r="J143">
        <v>5</v>
      </c>
      <c r="K143">
        <v>4</v>
      </c>
      <c r="L143">
        <v>16</v>
      </c>
      <c r="M143">
        <v>17</v>
      </c>
    </row>
    <row r="144" spans="1:13" x14ac:dyDescent="0.25">
      <c r="A144">
        <v>143</v>
      </c>
      <c r="B144">
        <v>13</v>
      </c>
      <c r="C144">
        <v>20</v>
      </c>
      <c r="D144" s="2">
        <v>41813.220763888887</v>
      </c>
      <c r="E144" t="s">
        <v>179</v>
      </c>
      <c r="F144">
        <v>60</v>
      </c>
      <c r="G144" s="3">
        <v>8</v>
      </c>
      <c r="H144">
        <v>1728</v>
      </c>
      <c r="I144" t="s">
        <v>181</v>
      </c>
      <c r="J144">
        <v>20</v>
      </c>
      <c r="K144">
        <v>13</v>
      </c>
      <c r="L144">
        <v>1</v>
      </c>
      <c r="M144">
        <v>8</v>
      </c>
    </row>
    <row r="145" spans="1:13" x14ac:dyDescent="0.25">
      <c r="A145">
        <v>144</v>
      </c>
      <c r="B145">
        <v>13</v>
      </c>
      <c r="C145">
        <v>10</v>
      </c>
      <c r="D145" s="2">
        <v>41813.870034722226</v>
      </c>
      <c r="E145" t="s">
        <v>179</v>
      </c>
      <c r="F145">
        <v>300</v>
      </c>
      <c r="G145" s="3">
        <v>9</v>
      </c>
      <c r="H145">
        <v>0</v>
      </c>
      <c r="I145" t="s">
        <v>180</v>
      </c>
      <c r="J145">
        <v>0</v>
      </c>
      <c r="K145">
        <v>0</v>
      </c>
      <c r="L145">
        <v>0</v>
      </c>
      <c r="M145">
        <v>0</v>
      </c>
    </row>
    <row r="146" spans="1:13" x14ac:dyDescent="0.25">
      <c r="A146">
        <v>145</v>
      </c>
      <c r="B146">
        <v>13</v>
      </c>
      <c r="C146">
        <v>17</v>
      </c>
      <c r="D146" s="2">
        <v>41812.635057870371</v>
      </c>
      <c r="E146" t="s">
        <v>179</v>
      </c>
      <c r="F146">
        <v>120</v>
      </c>
      <c r="G146" s="3">
        <v>10</v>
      </c>
      <c r="H146">
        <v>1940</v>
      </c>
      <c r="I146" t="s">
        <v>181</v>
      </c>
      <c r="J146">
        <v>3</v>
      </c>
      <c r="K146">
        <v>3</v>
      </c>
      <c r="L146">
        <v>18</v>
      </c>
      <c r="M146">
        <v>18</v>
      </c>
    </row>
    <row r="147" spans="1:13" x14ac:dyDescent="0.25">
      <c r="A147">
        <v>146</v>
      </c>
      <c r="B147">
        <v>13</v>
      </c>
      <c r="C147">
        <v>4</v>
      </c>
      <c r="D147" s="2">
        <v>41814.230127314811</v>
      </c>
      <c r="E147" t="s">
        <v>179</v>
      </c>
      <c r="F147">
        <v>0</v>
      </c>
      <c r="G147" s="3">
        <v>11</v>
      </c>
      <c r="H147">
        <v>1749</v>
      </c>
      <c r="I147" t="s">
        <v>181</v>
      </c>
      <c r="J147">
        <v>19</v>
      </c>
      <c r="K147">
        <v>6</v>
      </c>
      <c r="L147">
        <v>2</v>
      </c>
      <c r="M147">
        <v>15</v>
      </c>
    </row>
    <row r="148" spans="1:13" x14ac:dyDescent="0.25">
      <c r="A148">
        <v>147</v>
      </c>
      <c r="B148">
        <v>13</v>
      </c>
      <c r="C148">
        <v>24</v>
      </c>
      <c r="D148" s="2">
        <v>41814.794444444444</v>
      </c>
      <c r="E148" t="s">
        <v>179</v>
      </c>
      <c r="F148">
        <v>180</v>
      </c>
      <c r="G148" s="3">
        <v>12</v>
      </c>
      <c r="H148">
        <v>1815</v>
      </c>
      <c r="I148" t="s">
        <v>181</v>
      </c>
      <c r="J148">
        <v>12</v>
      </c>
      <c r="K148">
        <v>15</v>
      </c>
      <c r="L148">
        <v>9</v>
      </c>
      <c r="M148">
        <v>6</v>
      </c>
    </row>
    <row r="149" spans="1:13" x14ac:dyDescent="0.25">
      <c r="A149">
        <v>148</v>
      </c>
      <c r="B149">
        <v>13</v>
      </c>
      <c r="C149">
        <v>19</v>
      </c>
      <c r="D149" s="2">
        <v>41816.098530092589</v>
      </c>
      <c r="E149" t="s">
        <v>179</v>
      </c>
      <c r="F149">
        <v>60</v>
      </c>
      <c r="G149" s="3">
        <v>13</v>
      </c>
      <c r="H149">
        <v>1881</v>
      </c>
      <c r="I149" t="s">
        <v>181</v>
      </c>
      <c r="J149">
        <v>8</v>
      </c>
      <c r="K149">
        <v>2</v>
      </c>
      <c r="L149">
        <v>13</v>
      </c>
      <c r="M149">
        <v>19</v>
      </c>
    </row>
    <row r="150" spans="1:13" x14ac:dyDescent="0.25">
      <c r="A150">
        <v>149</v>
      </c>
      <c r="B150">
        <v>13</v>
      </c>
      <c r="C150">
        <v>21</v>
      </c>
      <c r="D150" s="2">
        <v>41808.704710648148</v>
      </c>
      <c r="E150" t="s">
        <v>179</v>
      </c>
      <c r="F150">
        <v>30</v>
      </c>
      <c r="G150" s="3">
        <v>14</v>
      </c>
      <c r="H150">
        <v>1947</v>
      </c>
      <c r="I150" t="s">
        <v>181</v>
      </c>
      <c r="J150">
        <v>2</v>
      </c>
      <c r="K150">
        <v>1</v>
      </c>
      <c r="L150">
        <v>19</v>
      </c>
      <c r="M150">
        <v>20</v>
      </c>
    </row>
    <row r="151" spans="1:13" x14ac:dyDescent="0.25">
      <c r="A151">
        <v>150</v>
      </c>
      <c r="B151">
        <v>13</v>
      </c>
      <c r="C151">
        <v>15</v>
      </c>
      <c r="D151" s="2">
        <v>41808.257916666669</v>
      </c>
      <c r="E151" t="s">
        <v>179</v>
      </c>
      <c r="F151">
        <v>240</v>
      </c>
      <c r="G151" s="3">
        <v>15</v>
      </c>
      <c r="H151">
        <v>1756</v>
      </c>
      <c r="I151" t="s">
        <v>181</v>
      </c>
      <c r="J151">
        <v>18</v>
      </c>
      <c r="K151">
        <v>20</v>
      </c>
      <c r="L151">
        <v>3</v>
      </c>
      <c r="M151">
        <v>1</v>
      </c>
    </row>
    <row r="152" spans="1:13" x14ac:dyDescent="0.25">
      <c r="A152">
        <v>151</v>
      </c>
      <c r="B152">
        <v>13</v>
      </c>
      <c r="C152">
        <v>30</v>
      </c>
      <c r="D152" s="2">
        <v>41810.82172453704</v>
      </c>
      <c r="E152" t="s">
        <v>179</v>
      </c>
      <c r="F152">
        <v>90</v>
      </c>
      <c r="G152" s="3">
        <v>16</v>
      </c>
      <c r="H152">
        <v>1822</v>
      </c>
      <c r="I152" t="s">
        <v>181</v>
      </c>
      <c r="J152">
        <v>11</v>
      </c>
      <c r="K152">
        <v>8</v>
      </c>
      <c r="L152">
        <v>10</v>
      </c>
      <c r="M152">
        <v>13</v>
      </c>
    </row>
    <row r="153" spans="1:13" x14ac:dyDescent="0.25">
      <c r="A153">
        <v>152</v>
      </c>
      <c r="B153">
        <v>13</v>
      </c>
      <c r="C153">
        <v>8</v>
      </c>
      <c r="D153" s="2">
        <v>41813.375636574077</v>
      </c>
      <c r="E153" t="s">
        <v>179</v>
      </c>
      <c r="F153">
        <v>300</v>
      </c>
      <c r="G153" s="3">
        <v>17</v>
      </c>
      <c r="H153">
        <v>1888</v>
      </c>
      <c r="I153" t="s">
        <v>181</v>
      </c>
      <c r="J153">
        <v>7</v>
      </c>
      <c r="K153">
        <v>18</v>
      </c>
      <c r="L153">
        <v>14</v>
      </c>
      <c r="M153">
        <v>3</v>
      </c>
    </row>
    <row r="154" spans="1:13" x14ac:dyDescent="0.25">
      <c r="A154">
        <v>153</v>
      </c>
      <c r="B154">
        <v>13</v>
      </c>
      <c r="C154">
        <v>29</v>
      </c>
      <c r="D154" s="2">
        <v>41815.970694444448</v>
      </c>
      <c r="E154" t="s">
        <v>179</v>
      </c>
      <c r="F154">
        <v>240</v>
      </c>
      <c r="G154" s="3">
        <v>18</v>
      </c>
      <c r="H154">
        <v>1954</v>
      </c>
      <c r="I154" t="s">
        <v>181</v>
      </c>
      <c r="J154">
        <v>1</v>
      </c>
      <c r="K154">
        <v>11</v>
      </c>
      <c r="L154">
        <v>20</v>
      </c>
      <c r="M154">
        <v>10</v>
      </c>
    </row>
    <row r="155" spans="1:13" x14ac:dyDescent="0.25">
      <c r="A155">
        <v>154</v>
      </c>
      <c r="B155">
        <v>13</v>
      </c>
      <c r="C155">
        <v>2</v>
      </c>
      <c r="D155" s="2">
        <v>41815.28502314815</v>
      </c>
      <c r="E155" t="s">
        <v>179</v>
      </c>
      <c r="F155">
        <v>90</v>
      </c>
      <c r="G155" s="3">
        <v>19</v>
      </c>
      <c r="H155">
        <v>1762</v>
      </c>
      <c r="I155" t="s">
        <v>181</v>
      </c>
      <c r="J155">
        <v>16</v>
      </c>
      <c r="K155">
        <v>12</v>
      </c>
      <c r="L155">
        <v>5</v>
      </c>
      <c r="M155">
        <v>9</v>
      </c>
    </row>
    <row r="156" spans="1:13" x14ac:dyDescent="0.25">
      <c r="A156">
        <v>155</v>
      </c>
      <c r="B156">
        <v>13</v>
      </c>
      <c r="C156">
        <v>25</v>
      </c>
      <c r="D156" s="2">
        <v>41807.838414351849</v>
      </c>
      <c r="E156" t="s">
        <v>179</v>
      </c>
      <c r="F156">
        <v>300</v>
      </c>
      <c r="G156" s="3">
        <v>20</v>
      </c>
      <c r="H156">
        <v>1897</v>
      </c>
      <c r="I156" t="s">
        <v>181</v>
      </c>
      <c r="J156">
        <v>6</v>
      </c>
      <c r="K156">
        <v>16</v>
      </c>
      <c r="L156">
        <v>15</v>
      </c>
      <c r="M156">
        <v>5</v>
      </c>
    </row>
    <row r="157" spans="1:13" x14ac:dyDescent="0.25">
      <c r="A157">
        <v>156</v>
      </c>
      <c r="B157">
        <v>13</v>
      </c>
      <c r="C157">
        <v>6</v>
      </c>
      <c r="D157" s="2">
        <v>41809.44458333333</v>
      </c>
      <c r="E157" t="s">
        <v>179</v>
      </c>
      <c r="F157">
        <v>150</v>
      </c>
      <c r="G157" s="3">
        <v>21</v>
      </c>
      <c r="H157">
        <v>0</v>
      </c>
      <c r="I157" t="s">
        <v>182</v>
      </c>
      <c r="J157">
        <v>0</v>
      </c>
      <c r="K157">
        <v>0</v>
      </c>
      <c r="L157">
        <v>0</v>
      </c>
      <c r="M157">
        <v>0</v>
      </c>
    </row>
    <row r="158" spans="1:13" x14ac:dyDescent="0.25">
      <c r="A158">
        <v>157</v>
      </c>
      <c r="B158">
        <v>13</v>
      </c>
      <c r="C158">
        <v>26</v>
      </c>
      <c r="D158" s="2">
        <v>41816.208993055552</v>
      </c>
      <c r="E158" t="s">
        <v>179</v>
      </c>
      <c r="F158">
        <v>270</v>
      </c>
      <c r="G158" s="3">
        <v>22</v>
      </c>
      <c r="H158">
        <v>1852</v>
      </c>
      <c r="I158" t="s">
        <v>181</v>
      </c>
      <c r="J158">
        <v>9</v>
      </c>
      <c r="K158">
        <v>19</v>
      </c>
      <c r="L158">
        <v>12</v>
      </c>
      <c r="M158">
        <v>2</v>
      </c>
    </row>
    <row r="159" spans="1:13" x14ac:dyDescent="0.25">
      <c r="A159">
        <v>158</v>
      </c>
      <c r="B159">
        <v>13</v>
      </c>
      <c r="C159">
        <v>11</v>
      </c>
      <c r="D159" s="2">
        <v>41809.482291666667</v>
      </c>
      <c r="E159" t="s">
        <v>179</v>
      </c>
      <c r="F159">
        <v>240</v>
      </c>
      <c r="G159" s="3">
        <v>23</v>
      </c>
      <c r="H159">
        <v>1830</v>
      </c>
      <c r="I159" t="s">
        <v>181</v>
      </c>
      <c r="J159">
        <v>10</v>
      </c>
      <c r="K159">
        <v>17</v>
      </c>
      <c r="L159">
        <v>11</v>
      </c>
      <c r="M159">
        <v>4</v>
      </c>
    </row>
    <row r="160" spans="1:13" x14ac:dyDescent="0.25">
      <c r="A160">
        <v>159</v>
      </c>
      <c r="B160">
        <v>13</v>
      </c>
      <c r="C160">
        <v>14</v>
      </c>
      <c r="D160" s="2">
        <v>41812.672766203701</v>
      </c>
      <c r="E160" t="s">
        <v>179</v>
      </c>
      <c r="F160">
        <v>90</v>
      </c>
      <c r="G160" s="3">
        <v>24</v>
      </c>
      <c r="H160">
        <v>1808</v>
      </c>
      <c r="I160" t="s">
        <v>181</v>
      </c>
      <c r="J160">
        <v>13</v>
      </c>
      <c r="K160">
        <v>10</v>
      </c>
      <c r="L160">
        <v>8</v>
      </c>
      <c r="M160">
        <v>11</v>
      </c>
    </row>
    <row r="161" spans="1:13" x14ac:dyDescent="0.25">
      <c r="A161">
        <v>160</v>
      </c>
      <c r="B161">
        <v>13</v>
      </c>
      <c r="C161">
        <v>12</v>
      </c>
      <c r="D161" s="2">
        <v>41814.946747685186</v>
      </c>
      <c r="E161" t="s">
        <v>179</v>
      </c>
      <c r="F161">
        <v>60</v>
      </c>
      <c r="G161" s="3">
        <v>25</v>
      </c>
      <c r="H161">
        <v>1786</v>
      </c>
      <c r="I161" t="s">
        <v>181</v>
      </c>
      <c r="J161">
        <v>14</v>
      </c>
      <c r="K161">
        <v>9</v>
      </c>
      <c r="L161">
        <v>7</v>
      </c>
      <c r="M161">
        <v>12</v>
      </c>
    </row>
    <row r="162" spans="1:13" x14ac:dyDescent="0.25">
      <c r="A162">
        <v>161</v>
      </c>
      <c r="B162">
        <v>13</v>
      </c>
      <c r="C162">
        <v>28</v>
      </c>
      <c r="D162" s="2">
        <v>41807.876111111109</v>
      </c>
      <c r="E162" t="s">
        <v>179</v>
      </c>
      <c r="F162">
        <v>30</v>
      </c>
      <c r="G162" s="3">
        <v>26</v>
      </c>
      <c r="H162">
        <v>1764</v>
      </c>
      <c r="I162" t="s">
        <v>181</v>
      </c>
      <c r="J162">
        <v>15</v>
      </c>
      <c r="K162">
        <v>7</v>
      </c>
      <c r="L162">
        <v>6</v>
      </c>
      <c r="M162">
        <v>14</v>
      </c>
    </row>
    <row r="163" spans="1:13" x14ac:dyDescent="0.25">
      <c r="A163">
        <v>162</v>
      </c>
      <c r="B163">
        <v>14</v>
      </c>
      <c r="C163">
        <v>12</v>
      </c>
      <c r="D163" s="2">
        <v>41819.833252314813</v>
      </c>
      <c r="E163" t="s">
        <v>179</v>
      </c>
      <c r="F163">
        <v>120</v>
      </c>
      <c r="G163" s="3">
        <v>1</v>
      </c>
      <c r="H163">
        <v>1380</v>
      </c>
      <c r="I163" t="s">
        <v>181</v>
      </c>
      <c r="J163">
        <v>14</v>
      </c>
      <c r="K163">
        <v>13</v>
      </c>
      <c r="L163">
        <v>7</v>
      </c>
      <c r="M163">
        <v>8</v>
      </c>
    </row>
    <row r="164" spans="1:13" x14ac:dyDescent="0.25">
      <c r="A164">
        <v>163</v>
      </c>
      <c r="B164">
        <v>14</v>
      </c>
      <c r="C164">
        <v>15</v>
      </c>
      <c r="D164" s="2">
        <v>41821.773726851854</v>
      </c>
      <c r="E164" t="s">
        <v>179</v>
      </c>
      <c r="F164">
        <v>90</v>
      </c>
      <c r="G164" s="3">
        <v>2</v>
      </c>
      <c r="H164">
        <v>0</v>
      </c>
      <c r="I164" t="s">
        <v>180</v>
      </c>
      <c r="J164">
        <v>0</v>
      </c>
      <c r="K164">
        <v>0</v>
      </c>
      <c r="L164">
        <v>0</v>
      </c>
      <c r="M164">
        <v>0</v>
      </c>
    </row>
    <row r="165" spans="1:13" x14ac:dyDescent="0.25">
      <c r="A165">
        <v>164</v>
      </c>
      <c r="B165">
        <v>14</v>
      </c>
      <c r="C165">
        <v>6</v>
      </c>
      <c r="D165" s="2">
        <v>41817.422222222223</v>
      </c>
      <c r="E165" t="s">
        <v>179</v>
      </c>
      <c r="F165">
        <v>30</v>
      </c>
      <c r="G165" s="3">
        <v>3</v>
      </c>
      <c r="H165">
        <v>1467</v>
      </c>
      <c r="I165" t="s">
        <v>181</v>
      </c>
      <c r="J165">
        <v>8</v>
      </c>
      <c r="K165">
        <v>8</v>
      </c>
      <c r="L165">
        <v>13</v>
      </c>
      <c r="M165">
        <v>13</v>
      </c>
    </row>
    <row r="166" spans="1:13" x14ac:dyDescent="0.25">
      <c r="A166">
        <v>165</v>
      </c>
      <c r="B166">
        <v>14</v>
      </c>
      <c r="C166">
        <v>30</v>
      </c>
      <c r="D166" s="2">
        <v>41817.34946759259</v>
      </c>
      <c r="E166" t="s">
        <v>179</v>
      </c>
      <c r="F166">
        <v>240</v>
      </c>
      <c r="G166" s="3">
        <v>4</v>
      </c>
      <c r="H166">
        <v>1389</v>
      </c>
      <c r="I166" t="s">
        <v>181</v>
      </c>
      <c r="J166">
        <v>12</v>
      </c>
      <c r="K166">
        <v>16</v>
      </c>
      <c r="L166">
        <v>9</v>
      </c>
      <c r="M166">
        <v>5</v>
      </c>
    </row>
    <row r="167" spans="1:13" x14ac:dyDescent="0.25">
      <c r="A167">
        <v>166</v>
      </c>
      <c r="B167">
        <v>14</v>
      </c>
      <c r="C167">
        <v>23</v>
      </c>
      <c r="D167" s="2">
        <v>41817.27721064815</v>
      </c>
      <c r="E167" t="s">
        <v>179</v>
      </c>
      <c r="F167">
        <v>60</v>
      </c>
      <c r="G167" s="3">
        <v>5</v>
      </c>
      <c r="H167">
        <v>1312</v>
      </c>
      <c r="I167" t="s">
        <v>181</v>
      </c>
      <c r="J167">
        <v>18</v>
      </c>
      <c r="K167">
        <v>14</v>
      </c>
      <c r="L167">
        <v>3</v>
      </c>
      <c r="M167">
        <v>7</v>
      </c>
    </row>
    <row r="168" spans="1:13" x14ac:dyDescent="0.25">
      <c r="A168">
        <v>167</v>
      </c>
      <c r="B168">
        <v>14</v>
      </c>
      <c r="C168">
        <v>19</v>
      </c>
      <c r="D168" s="2">
        <v>41818.204456018517</v>
      </c>
      <c r="E168" t="s">
        <v>179</v>
      </c>
      <c r="F168">
        <v>270</v>
      </c>
      <c r="G168" s="3">
        <v>6</v>
      </c>
      <c r="H168">
        <v>1285</v>
      </c>
      <c r="I168" t="s">
        <v>181</v>
      </c>
      <c r="J168">
        <v>20</v>
      </c>
      <c r="K168">
        <v>20</v>
      </c>
      <c r="L168">
        <v>1</v>
      </c>
      <c r="M168">
        <v>1</v>
      </c>
    </row>
    <row r="169" spans="1:13" x14ac:dyDescent="0.25">
      <c r="A169">
        <v>168</v>
      </c>
      <c r="B169">
        <v>14</v>
      </c>
      <c r="C169">
        <v>29</v>
      </c>
      <c r="D169" s="2">
        <v>41818.09003472222</v>
      </c>
      <c r="E169" t="s">
        <v>179</v>
      </c>
      <c r="F169">
        <v>30</v>
      </c>
      <c r="G169" s="3">
        <v>7</v>
      </c>
      <c r="H169">
        <v>1350</v>
      </c>
      <c r="I169" t="s">
        <v>181</v>
      </c>
      <c r="J169">
        <v>16</v>
      </c>
      <c r="K169">
        <v>10</v>
      </c>
      <c r="L169">
        <v>5</v>
      </c>
      <c r="M169">
        <v>11</v>
      </c>
    </row>
    <row r="170" spans="1:13" x14ac:dyDescent="0.25">
      <c r="A170">
        <v>169</v>
      </c>
      <c r="B170">
        <v>14</v>
      </c>
      <c r="C170">
        <v>16</v>
      </c>
      <c r="D170" s="2">
        <v>41817.715011574073</v>
      </c>
      <c r="E170" t="s">
        <v>179</v>
      </c>
      <c r="F170">
        <v>120</v>
      </c>
      <c r="G170" s="3">
        <v>8</v>
      </c>
      <c r="H170">
        <v>0</v>
      </c>
      <c r="I170" t="s">
        <v>182</v>
      </c>
      <c r="J170">
        <v>0</v>
      </c>
      <c r="K170">
        <v>0</v>
      </c>
      <c r="L170">
        <v>0</v>
      </c>
      <c r="M170">
        <v>0</v>
      </c>
    </row>
    <row r="171" spans="1:13" x14ac:dyDescent="0.25">
      <c r="A171">
        <v>170</v>
      </c>
      <c r="B171">
        <v>14</v>
      </c>
      <c r="C171">
        <v>27</v>
      </c>
      <c r="D171" s="2">
        <v>41821.235000000001</v>
      </c>
      <c r="E171" t="s">
        <v>179</v>
      </c>
      <c r="F171">
        <v>150</v>
      </c>
      <c r="G171" s="3">
        <v>9</v>
      </c>
      <c r="H171">
        <v>1381</v>
      </c>
      <c r="I171" t="s">
        <v>181</v>
      </c>
      <c r="J171">
        <v>13</v>
      </c>
      <c r="K171">
        <v>15</v>
      </c>
      <c r="L171">
        <v>8</v>
      </c>
      <c r="M171">
        <v>6</v>
      </c>
    </row>
    <row r="172" spans="1:13" x14ac:dyDescent="0.25">
      <c r="A172">
        <v>171</v>
      </c>
      <c r="B172">
        <v>14</v>
      </c>
      <c r="C172">
        <v>25</v>
      </c>
      <c r="D172" s="2">
        <v>41819.190046296295</v>
      </c>
      <c r="E172" t="s">
        <v>179</v>
      </c>
      <c r="F172">
        <v>270</v>
      </c>
      <c r="G172" s="3">
        <v>10</v>
      </c>
      <c r="H172">
        <v>1359</v>
      </c>
      <c r="I172" t="s">
        <v>181</v>
      </c>
      <c r="J172">
        <v>15</v>
      </c>
      <c r="K172">
        <v>18</v>
      </c>
      <c r="L172">
        <v>6</v>
      </c>
      <c r="M172">
        <v>3</v>
      </c>
    </row>
    <row r="173" spans="1:13" x14ac:dyDescent="0.25">
      <c r="A173">
        <v>172</v>
      </c>
      <c r="B173">
        <v>14</v>
      </c>
      <c r="C173">
        <v>20</v>
      </c>
      <c r="D173" s="2">
        <v>41818.39508101852</v>
      </c>
      <c r="E173" t="s">
        <v>179</v>
      </c>
      <c r="F173">
        <v>0</v>
      </c>
      <c r="G173" s="3">
        <v>11</v>
      </c>
      <c r="H173">
        <v>1287</v>
      </c>
      <c r="I173" t="s">
        <v>181</v>
      </c>
      <c r="J173">
        <v>19</v>
      </c>
      <c r="K173">
        <v>12</v>
      </c>
      <c r="L173">
        <v>2</v>
      </c>
      <c r="M173">
        <v>9</v>
      </c>
    </row>
    <row r="174" spans="1:13" x14ac:dyDescent="0.25">
      <c r="A174">
        <v>173</v>
      </c>
      <c r="B174">
        <v>14</v>
      </c>
      <c r="C174">
        <v>11</v>
      </c>
      <c r="D174" s="2">
        <v>41816.307939814818</v>
      </c>
      <c r="E174" t="s">
        <v>179</v>
      </c>
      <c r="F174">
        <v>60</v>
      </c>
      <c r="G174" s="3">
        <v>12</v>
      </c>
      <c r="H174">
        <v>1458</v>
      </c>
      <c r="I174" t="s">
        <v>181</v>
      </c>
      <c r="J174">
        <v>9</v>
      </c>
      <c r="K174">
        <v>9</v>
      </c>
      <c r="L174">
        <v>12</v>
      </c>
      <c r="M174">
        <v>12</v>
      </c>
    </row>
    <row r="175" spans="1:13" x14ac:dyDescent="0.25">
      <c r="A175">
        <v>174</v>
      </c>
      <c r="B175">
        <v>14</v>
      </c>
      <c r="C175">
        <v>13</v>
      </c>
      <c r="D175" s="2">
        <v>41819.262986111113</v>
      </c>
      <c r="E175" t="s">
        <v>179</v>
      </c>
      <c r="F175">
        <v>60</v>
      </c>
      <c r="G175" s="3">
        <v>13</v>
      </c>
      <c r="H175">
        <v>0</v>
      </c>
      <c r="I175" t="s">
        <v>180</v>
      </c>
      <c r="J175">
        <v>0</v>
      </c>
      <c r="K175">
        <v>0</v>
      </c>
      <c r="L175">
        <v>0</v>
      </c>
      <c r="M175">
        <v>0</v>
      </c>
    </row>
    <row r="176" spans="1:13" x14ac:dyDescent="0.25">
      <c r="A176">
        <v>175</v>
      </c>
      <c r="B176">
        <v>14</v>
      </c>
      <c r="C176">
        <v>26</v>
      </c>
      <c r="D176" s="2">
        <v>41819.508657407408</v>
      </c>
      <c r="E176" t="s">
        <v>179</v>
      </c>
      <c r="F176">
        <v>300</v>
      </c>
      <c r="G176" s="3">
        <v>14</v>
      </c>
      <c r="H176">
        <v>1406</v>
      </c>
      <c r="I176" t="s">
        <v>181</v>
      </c>
      <c r="J176">
        <v>11</v>
      </c>
      <c r="K176">
        <v>17</v>
      </c>
      <c r="L176">
        <v>10</v>
      </c>
      <c r="M176">
        <v>4</v>
      </c>
    </row>
    <row r="177" spans="1:13" x14ac:dyDescent="0.25">
      <c r="A177">
        <v>176</v>
      </c>
      <c r="B177">
        <v>14</v>
      </c>
      <c r="C177">
        <v>7</v>
      </c>
      <c r="D177" s="2">
        <v>41821.450277777774</v>
      </c>
      <c r="E177" t="s">
        <v>179</v>
      </c>
      <c r="F177">
        <v>270</v>
      </c>
      <c r="G177" s="3">
        <v>15</v>
      </c>
      <c r="H177">
        <v>1324</v>
      </c>
      <c r="I177" t="s">
        <v>181</v>
      </c>
      <c r="J177">
        <v>17</v>
      </c>
      <c r="K177">
        <v>19</v>
      </c>
      <c r="L177">
        <v>4</v>
      </c>
      <c r="M177">
        <v>2</v>
      </c>
    </row>
    <row r="178" spans="1:13" x14ac:dyDescent="0.25">
      <c r="A178">
        <v>177</v>
      </c>
      <c r="B178">
        <v>14</v>
      </c>
      <c r="C178">
        <v>8</v>
      </c>
      <c r="D178" s="2">
        <v>41818.319675925923</v>
      </c>
      <c r="E178" t="s">
        <v>179</v>
      </c>
      <c r="F178">
        <v>240</v>
      </c>
      <c r="G178" s="3">
        <v>16</v>
      </c>
      <c r="H178">
        <v>0</v>
      </c>
      <c r="I178" t="s">
        <v>182</v>
      </c>
      <c r="J178">
        <v>0</v>
      </c>
      <c r="K178">
        <v>0</v>
      </c>
      <c r="L178">
        <v>0</v>
      </c>
      <c r="M178">
        <v>0</v>
      </c>
    </row>
    <row r="179" spans="1:13" x14ac:dyDescent="0.25">
      <c r="A179">
        <v>178</v>
      </c>
      <c r="B179">
        <v>14</v>
      </c>
      <c r="C179">
        <v>24</v>
      </c>
      <c r="D179" s="2">
        <v>41820.747407407405</v>
      </c>
      <c r="E179" t="s">
        <v>179</v>
      </c>
      <c r="F179">
        <v>150</v>
      </c>
      <c r="G179" s="3">
        <v>17</v>
      </c>
      <c r="H179">
        <v>1457</v>
      </c>
      <c r="I179" t="s">
        <v>181</v>
      </c>
      <c r="J179">
        <v>10</v>
      </c>
      <c r="K179">
        <v>11</v>
      </c>
      <c r="L179">
        <v>11</v>
      </c>
      <c r="M179">
        <v>10</v>
      </c>
    </row>
    <row r="180" spans="1:13" x14ac:dyDescent="0.25">
      <c r="A180">
        <v>179</v>
      </c>
      <c r="B180">
        <v>15</v>
      </c>
      <c r="C180">
        <v>9</v>
      </c>
      <c r="D180" s="2">
        <v>41827.022858796299</v>
      </c>
      <c r="E180" t="s">
        <v>179</v>
      </c>
      <c r="F180">
        <v>150</v>
      </c>
      <c r="G180" s="3">
        <v>1</v>
      </c>
      <c r="H180">
        <v>1419</v>
      </c>
      <c r="I180" t="s">
        <v>181</v>
      </c>
      <c r="J180">
        <v>12</v>
      </c>
      <c r="K180">
        <v>13</v>
      </c>
      <c r="L180">
        <v>9</v>
      </c>
      <c r="M180">
        <v>8</v>
      </c>
    </row>
    <row r="181" spans="1:13" x14ac:dyDescent="0.25">
      <c r="A181">
        <v>180</v>
      </c>
      <c r="B181">
        <v>15</v>
      </c>
      <c r="C181">
        <v>26</v>
      </c>
      <c r="D181" s="2">
        <v>41823.256608796299</v>
      </c>
      <c r="E181" t="s">
        <v>179</v>
      </c>
      <c r="F181">
        <v>120</v>
      </c>
      <c r="G181" s="3">
        <v>2</v>
      </c>
      <c r="H181">
        <v>1464</v>
      </c>
      <c r="I181" t="s">
        <v>181</v>
      </c>
      <c r="J181">
        <v>8</v>
      </c>
      <c r="K181">
        <v>9</v>
      </c>
      <c r="L181">
        <v>13</v>
      </c>
      <c r="M181">
        <v>12</v>
      </c>
    </row>
    <row r="182" spans="1:13" x14ac:dyDescent="0.25">
      <c r="A182">
        <v>181</v>
      </c>
      <c r="B182">
        <v>15</v>
      </c>
      <c r="C182">
        <v>13</v>
      </c>
      <c r="D182" s="2">
        <v>41828.794004629628</v>
      </c>
      <c r="E182" t="s">
        <v>179</v>
      </c>
      <c r="F182">
        <v>90</v>
      </c>
      <c r="G182" s="3">
        <v>3</v>
      </c>
      <c r="H182">
        <v>1313</v>
      </c>
      <c r="I182" t="s">
        <v>181</v>
      </c>
      <c r="J182">
        <v>20</v>
      </c>
      <c r="K182">
        <v>15</v>
      </c>
      <c r="L182">
        <v>1</v>
      </c>
      <c r="M182">
        <v>6</v>
      </c>
    </row>
    <row r="183" spans="1:13" x14ac:dyDescent="0.25">
      <c r="A183">
        <v>182</v>
      </c>
      <c r="B183">
        <v>15</v>
      </c>
      <c r="C183">
        <v>23</v>
      </c>
      <c r="D183" s="2">
        <v>41824.11178240741</v>
      </c>
      <c r="E183" t="s">
        <v>179</v>
      </c>
      <c r="F183">
        <v>180</v>
      </c>
      <c r="G183" s="3">
        <v>4</v>
      </c>
      <c r="H183">
        <v>1358</v>
      </c>
      <c r="I183" t="s">
        <v>181</v>
      </c>
      <c r="J183">
        <v>16</v>
      </c>
      <c r="K183">
        <v>18</v>
      </c>
      <c r="L183">
        <v>5</v>
      </c>
      <c r="M183">
        <v>3</v>
      </c>
    </row>
    <row r="184" spans="1:13" x14ac:dyDescent="0.25">
      <c r="A184">
        <v>183</v>
      </c>
      <c r="B184">
        <v>15</v>
      </c>
      <c r="C184">
        <v>25</v>
      </c>
      <c r="D184" s="2">
        <v>41821.648310185185</v>
      </c>
      <c r="E184" t="s">
        <v>179</v>
      </c>
      <c r="F184">
        <v>150</v>
      </c>
      <c r="G184" s="3">
        <v>5</v>
      </c>
      <c r="H184">
        <v>1351</v>
      </c>
      <c r="I184" t="s">
        <v>181</v>
      </c>
      <c r="J184">
        <v>17</v>
      </c>
      <c r="K184">
        <v>17</v>
      </c>
      <c r="L184">
        <v>4</v>
      </c>
      <c r="M184">
        <v>4</v>
      </c>
    </row>
    <row r="185" spans="1:13" x14ac:dyDescent="0.25">
      <c r="A185">
        <v>184</v>
      </c>
      <c r="B185">
        <v>15</v>
      </c>
      <c r="C185">
        <v>16</v>
      </c>
      <c r="D185" s="2">
        <v>41823.935532407406</v>
      </c>
      <c r="E185" t="s">
        <v>179</v>
      </c>
      <c r="F185">
        <v>120</v>
      </c>
      <c r="G185" s="3">
        <v>6</v>
      </c>
      <c r="H185">
        <v>0</v>
      </c>
      <c r="I185" t="s">
        <v>182</v>
      </c>
      <c r="J185">
        <v>0</v>
      </c>
      <c r="K185">
        <v>0</v>
      </c>
      <c r="L185">
        <v>0</v>
      </c>
      <c r="M185">
        <v>0</v>
      </c>
    </row>
    <row r="186" spans="1:13" x14ac:dyDescent="0.25">
      <c r="A186">
        <v>185</v>
      </c>
      <c r="B186">
        <v>15</v>
      </c>
      <c r="C186">
        <v>12</v>
      </c>
      <c r="D186" s="2">
        <v>41824.936851851853</v>
      </c>
      <c r="E186" t="s">
        <v>179</v>
      </c>
      <c r="F186">
        <v>240</v>
      </c>
      <c r="G186" s="3">
        <v>7</v>
      </c>
      <c r="H186">
        <v>1479</v>
      </c>
      <c r="I186" t="s">
        <v>181</v>
      </c>
      <c r="J186">
        <v>6</v>
      </c>
      <c r="K186">
        <v>14</v>
      </c>
      <c r="L186">
        <v>15</v>
      </c>
      <c r="M186">
        <v>7</v>
      </c>
    </row>
    <row r="187" spans="1:13" x14ac:dyDescent="0.25">
      <c r="A187">
        <v>186</v>
      </c>
      <c r="B187">
        <v>15</v>
      </c>
      <c r="C187">
        <v>28</v>
      </c>
      <c r="D187" s="2">
        <v>41826.53261574074</v>
      </c>
      <c r="E187" t="s">
        <v>179</v>
      </c>
      <c r="F187">
        <v>180</v>
      </c>
      <c r="G187" s="3">
        <v>8</v>
      </c>
      <c r="H187">
        <v>1333</v>
      </c>
      <c r="I187" t="s">
        <v>181</v>
      </c>
      <c r="J187">
        <v>19</v>
      </c>
      <c r="K187">
        <v>20</v>
      </c>
      <c r="L187">
        <v>2</v>
      </c>
      <c r="M187">
        <v>1</v>
      </c>
    </row>
    <row r="188" spans="1:13" x14ac:dyDescent="0.25">
      <c r="A188">
        <v>187</v>
      </c>
      <c r="B188">
        <v>15</v>
      </c>
      <c r="C188">
        <v>1</v>
      </c>
      <c r="D188" s="2">
        <v>41826.055266203701</v>
      </c>
      <c r="E188" t="s">
        <v>179</v>
      </c>
      <c r="F188">
        <v>60</v>
      </c>
      <c r="G188" s="3">
        <v>9</v>
      </c>
      <c r="H188">
        <v>1383</v>
      </c>
      <c r="I188" t="s">
        <v>181</v>
      </c>
      <c r="J188">
        <v>15</v>
      </c>
      <c r="K188">
        <v>11</v>
      </c>
      <c r="L188">
        <v>6</v>
      </c>
      <c r="M188">
        <v>10</v>
      </c>
    </row>
    <row r="189" spans="1:13" x14ac:dyDescent="0.25">
      <c r="A189">
        <v>188</v>
      </c>
      <c r="B189">
        <v>15</v>
      </c>
      <c r="C189">
        <v>24</v>
      </c>
      <c r="D189" s="2">
        <v>41828.649629629632</v>
      </c>
      <c r="E189" t="s">
        <v>179</v>
      </c>
      <c r="F189">
        <v>270</v>
      </c>
      <c r="G189" s="3">
        <v>10</v>
      </c>
      <c r="H189">
        <v>1434</v>
      </c>
      <c r="I189" t="s">
        <v>181</v>
      </c>
      <c r="J189">
        <v>9</v>
      </c>
      <c r="K189">
        <v>19</v>
      </c>
      <c r="L189">
        <v>12</v>
      </c>
      <c r="M189">
        <v>2</v>
      </c>
    </row>
    <row r="190" spans="1:13" x14ac:dyDescent="0.25">
      <c r="A190">
        <v>189</v>
      </c>
      <c r="B190">
        <v>15</v>
      </c>
      <c r="C190">
        <v>11</v>
      </c>
      <c r="D190" s="2">
        <v>41821.214143518519</v>
      </c>
      <c r="E190" t="s">
        <v>179</v>
      </c>
      <c r="F190">
        <v>120</v>
      </c>
      <c r="G190" s="3">
        <v>11</v>
      </c>
      <c r="H190">
        <v>1339</v>
      </c>
      <c r="I190" t="s">
        <v>181</v>
      </c>
      <c r="J190">
        <v>18</v>
      </c>
      <c r="K190">
        <v>16</v>
      </c>
      <c r="L190">
        <v>3</v>
      </c>
      <c r="M190">
        <v>5</v>
      </c>
    </row>
    <row r="191" spans="1:13" x14ac:dyDescent="0.25">
      <c r="A191">
        <v>190</v>
      </c>
      <c r="B191">
        <v>15</v>
      </c>
      <c r="C191">
        <v>5</v>
      </c>
      <c r="D191" s="2">
        <v>41823.518043981479</v>
      </c>
      <c r="E191" t="s">
        <v>179</v>
      </c>
      <c r="F191">
        <v>60</v>
      </c>
      <c r="G191" s="3">
        <v>12</v>
      </c>
      <c r="H191">
        <v>1390</v>
      </c>
      <c r="I191" t="s">
        <v>181</v>
      </c>
      <c r="J191">
        <v>14</v>
      </c>
      <c r="K191">
        <v>10</v>
      </c>
      <c r="L191">
        <v>7</v>
      </c>
      <c r="M191">
        <v>11</v>
      </c>
    </row>
    <row r="192" spans="1:13" x14ac:dyDescent="0.25">
      <c r="A192">
        <v>191</v>
      </c>
      <c r="B192">
        <v>15</v>
      </c>
      <c r="C192">
        <v>30</v>
      </c>
      <c r="D192" s="2">
        <v>41821.851817129631</v>
      </c>
      <c r="E192" t="s">
        <v>179</v>
      </c>
      <c r="F192">
        <v>180</v>
      </c>
      <c r="G192" s="3">
        <v>13</v>
      </c>
      <c r="H192">
        <v>0</v>
      </c>
      <c r="I192" t="s">
        <v>182</v>
      </c>
      <c r="J192">
        <v>0</v>
      </c>
      <c r="K192">
        <v>0</v>
      </c>
      <c r="L192">
        <v>0</v>
      </c>
      <c r="M192">
        <v>0</v>
      </c>
    </row>
    <row r="193" spans="1:13" x14ac:dyDescent="0.25">
      <c r="A193">
        <v>192</v>
      </c>
      <c r="B193">
        <v>15</v>
      </c>
      <c r="C193">
        <v>27</v>
      </c>
      <c r="D193" s="2">
        <v>41824.26734953704</v>
      </c>
      <c r="E193" t="s">
        <v>179</v>
      </c>
      <c r="F193">
        <v>60</v>
      </c>
      <c r="G193" s="3">
        <v>14</v>
      </c>
      <c r="H193">
        <v>1428</v>
      </c>
      <c r="I193" t="s">
        <v>181</v>
      </c>
      <c r="J193">
        <v>11</v>
      </c>
      <c r="K193">
        <v>8</v>
      </c>
      <c r="L193">
        <v>10</v>
      </c>
      <c r="M193">
        <v>13</v>
      </c>
    </row>
    <row r="194" spans="1:13" x14ac:dyDescent="0.25">
      <c r="A194">
        <v>193</v>
      </c>
      <c r="B194">
        <v>15</v>
      </c>
      <c r="C194">
        <v>15</v>
      </c>
      <c r="D194" s="2">
        <v>41826.498796296299</v>
      </c>
      <c r="E194" t="s">
        <v>179</v>
      </c>
      <c r="F194">
        <v>30</v>
      </c>
      <c r="G194" s="3">
        <v>15</v>
      </c>
      <c r="H194">
        <v>1411</v>
      </c>
      <c r="I194" t="s">
        <v>181</v>
      </c>
      <c r="J194">
        <v>13</v>
      </c>
      <c r="K194">
        <v>7</v>
      </c>
      <c r="L194">
        <v>8</v>
      </c>
      <c r="M194">
        <v>14</v>
      </c>
    </row>
    <row r="195" spans="1:13" x14ac:dyDescent="0.25">
      <c r="A195">
        <v>194</v>
      </c>
      <c r="B195">
        <v>15</v>
      </c>
      <c r="C195">
        <v>3</v>
      </c>
      <c r="D195" s="2">
        <v>41828.481817129628</v>
      </c>
      <c r="E195" t="s">
        <v>179</v>
      </c>
      <c r="F195">
        <v>0</v>
      </c>
      <c r="G195" s="3">
        <v>16</v>
      </c>
      <c r="H195">
        <v>0</v>
      </c>
      <c r="I195" t="s">
        <v>182</v>
      </c>
      <c r="J195">
        <v>0</v>
      </c>
      <c r="K195">
        <v>0</v>
      </c>
      <c r="L195">
        <v>0</v>
      </c>
      <c r="M195">
        <v>0</v>
      </c>
    </row>
    <row r="196" spans="1:13" x14ac:dyDescent="0.25">
      <c r="A196">
        <v>195</v>
      </c>
      <c r="B196">
        <v>15</v>
      </c>
      <c r="C196">
        <v>10</v>
      </c>
      <c r="D196" s="2">
        <v>41824.195219907408</v>
      </c>
      <c r="E196" t="s">
        <v>179</v>
      </c>
      <c r="F196">
        <v>30</v>
      </c>
      <c r="G196" s="3">
        <v>17</v>
      </c>
      <c r="H196">
        <v>1431</v>
      </c>
      <c r="I196" t="s">
        <v>181</v>
      </c>
      <c r="J196">
        <v>10</v>
      </c>
      <c r="K196">
        <v>6</v>
      </c>
      <c r="L196">
        <v>11</v>
      </c>
      <c r="M196">
        <v>15</v>
      </c>
    </row>
    <row r="197" spans="1:13" x14ac:dyDescent="0.25">
      <c r="A197">
        <v>196</v>
      </c>
      <c r="B197">
        <v>15</v>
      </c>
      <c r="C197">
        <v>17</v>
      </c>
      <c r="D197" s="2">
        <v>41823.455150462964</v>
      </c>
      <c r="E197" t="s">
        <v>179</v>
      </c>
      <c r="F197">
        <v>180</v>
      </c>
      <c r="G197" s="3">
        <v>18</v>
      </c>
      <c r="H197">
        <v>1471</v>
      </c>
      <c r="I197" t="s">
        <v>181</v>
      </c>
      <c r="J197">
        <v>7</v>
      </c>
      <c r="K197">
        <v>12</v>
      </c>
      <c r="L197">
        <v>14</v>
      </c>
      <c r="M197">
        <v>9</v>
      </c>
    </row>
    <row r="198" spans="1:13" x14ac:dyDescent="0.25">
      <c r="A198">
        <v>197</v>
      </c>
      <c r="B198">
        <v>16</v>
      </c>
      <c r="C198">
        <v>30</v>
      </c>
      <c r="D198" s="2">
        <v>41831.024062500001</v>
      </c>
      <c r="E198" t="s">
        <v>179</v>
      </c>
      <c r="F198">
        <v>300</v>
      </c>
      <c r="G198" s="3">
        <v>1</v>
      </c>
      <c r="H198">
        <v>1435</v>
      </c>
      <c r="I198" t="s">
        <v>181</v>
      </c>
      <c r="J198">
        <v>6</v>
      </c>
      <c r="K198">
        <v>17</v>
      </c>
      <c r="L198">
        <v>15</v>
      </c>
      <c r="M198">
        <v>4</v>
      </c>
    </row>
    <row r="199" spans="1:13" x14ac:dyDescent="0.25">
      <c r="A199">
        <v>198</v>
      </c>
      <c r="B199">
        <v>16</v>
      </c>
      <c r="C199">
        <v>21</v>
      </c>
      <c r="D199" s="2">
        <v>41829.284004629626</v>
      </c>
      <c r="E199" t="s">
        <v>179</v>
      </c>
      <c r="F199">
        <v>60</v>
      </c>
      <c r="G199" s="3">
        <v>2</v>
      </c>
      <c r="H199">
        <v>1423</v>
      </c>
      <c r="I199" t="s">
        <v>181</v>
      </c>
      <c r="J199">
        <v>8</v>
      </c>
      <c r="K199">
        <v>4</v>
      </c>
      <c r="L199">
        <v>13</v>
      </c>
      <c r="M199">
        <v>17</v>
      </c>
    </row>
    <row r="200" spans="1:13" x14ac:dyDescent="0.25">
      <c r="A200">
        <v>199</v>
      </c>
      <c r="B200">
        <v>16</v>
      </c>
      <c r="C200">
        <v>4</v>
      </c>
      <c r="D200" s="2">
        <v>41828.543425925927</v>
      </c>
      <c r="E200" t="s">
        <v>179</v>
      </c>
      <c r="F200">
        <v>240</v>
      </c>
      <c r="G200" s="3">
        <v>3</v>
      </c>
      <c r="H200">
        <v>1412</v>
      </c>
      <c r="I200" t="s">
        <v>181</v>
      </c>
      <c r="J200">
        <v>9</v>
      </c>
      <c r="K200">
        <v>14</v>
      </c>
      <c r="L200">
        <v>12</v>
      </c>
      <c r="M200">
        <v>7</v>
      </c>
    </row>
    <row r="201" spans="1:13" x14ac:dyDescent="0.25">
      <c r="A201">
        <v>200</v>
      </c>
      <c r="B201">
        <v>16</v>
      </c>
      <c r="C201">
        <v>25</v>
      </c>
      <c r="D201" s="2">
        <v>41828.791747685187</v>
      </c>
      <c r="E201" t="s">
        <v>179</v>
      </c>
      <c r="F201">
        <v>0</v>
      </c>
      <c r="G201" s="3">
        <v>4</v>
      </c>
      <c r="H201">
        <v>1451</v>
      </c>
      <c r="I201" t="s">
        <v>181</v>
      </c>
      <c r="J201">
        <v>3</v>
      </c>
      <c r="K201">
        <v>3</v>
      </c>
      <c r="L201">
        <v>18</v>
      </c>
      <c r="M201">
        <v>18</v>
      </c>
    </row>
    <row r="202" spans="1:13" x14ac:dyDescent="0.25">
      <c r="A202">
        <v>201</v>
      </c>
      <c r="B202">
        <v>16</v>
      </c>
      <c r="C202">
        <v>2</v>
      </c>
      <c r="D202" s="2">
        <v>41828.051863425928</v>
      </c>
      <c r="E202" t="s">
        <v>179</v>
      </c>
      <c r="F202">
        <v>150</v>
      </c>
      <c r="G202" s="3">
        <v>5</v>
      </c>
      <c r="H202">
        <v>1440</v>
      </c>
      <c r="I202" t="s">
        <v>181</v>
      </c>
      <c r="J202">
        <v>5</v>
      </c>
      <c r="K202">
        <v>9</v>
      </c>
      <c r="L202">
        <v>16</v>
      </c>
      <c r="M202">
        <v>12</v>
      </c>
    </row>
    <row r="203" spans="1:13" x14ac:dyDescent="0.25">
      <c r="A203">
        <v>202</v>
      </c>
      <c r="B203">
        <v>16</v>
      </c>
      <c r="C203">
        <v>19</v>
      </c>
      <c r="D203" s="2">
        <v>41832.311284722222</v>
      </c>
      <c r="E203" t="s">
        <v>179</v>
      </c>
      <c r="F203">
        <v>270</v>
      </c>
      <c r="G203" s="3">
        <v>6</v>
      </c>
      <c r="H203">
        <v>1428</v>
      </c>
      <c r="I203" t="s">
        <v>181</v>
      </c>
      <c r="J203">
        <v>7</v>
      </c>
      <c r="K203">
        <v>15</v>
      </c>
      <c r="L203">
        <v>14</v>
      </c>
      <c r="M203">
        <v>6</v>
      </c>
    </row>
    <row r="204" spans="1:13" x14ac:dyDescent="0.25">
      <c r="A204">
        <v>203</v>
      </c>
      <c r="B204">
        <v>16</v>
      </c>
      <c r="C204">
        <v>15</v>
      </c>
      <c r="D204" s="2">
        <v>41832.570717592593</v>
      </c>
      <c r="E204" t="s">
        <v>179</v>
      </c>
      <c r="F204">
        <v>30</v>
      </c>
      <c r="G204" s="3">
        <v>7</v>
      </c>
      <c r="H204">
        <v>0</v>
      </c>
      <c r="I204" t="s">
        <v>182</v>
      </c>
      <c r="J204">
        <v>0</v>
      </c>
      <c r="K204">
        <v>0</v>
      </c>
      <c r="L204">
        <v>0</v>
      </c>
      <c r="M204">
        <v>0</v>
      </c>
    </row>
    <row r="205" spans="1:13" x14ac:dyDescent="0.25">
      <c r="A205">
        <v>204</v>
      </c>
      <c r="B205">
        <v>16</v>
      </c>
      <c r="C205">
        <v>26</v>
      </c>
      <c r="D205" s="2">
        <v>41832.784479166665</v>
      </c>
      <c r="E205" t="s">
        <v>179</v>
      </c>
      <c r="F205">
        <v>30</v>
      </c>
      <c r="G205" s="3">
        <v>8</v>
      </c>
      <c r="H205">
        <v>1331</v>
      </c>
      <c r="I205" t="s">
        <v>181</v>
      </c>
      <c r="J205">
        <v>15</v>
      </c>
      <c r="K205">
        <v>7</v>
      </c>
      <c r="L205">
        <v>6</v>
      </c>
      <c r="M205">
        <v>14</v>
      </c>
    </row>
    <row r="206" spans="1:13" x14ac:dyDescent="0.25">
      <c r="A206">
        <v>205</v>
      </c>
      <c r="B206">
        <v>16</v>
      </c>
      <c r="C206">
        <v>12</v>
      </c>
      <c r="D206" s="2">
        <v>41832.670057870368</v>
      </c>
      <c r="E206" t="s">
        <v>179</v>
      </c>
      <c r="F206">
        <v>240</v>
      </c>
      <c r="G206" s="3">
        <v>9</v>
      </c>
      <c r="H206">
        <v>1446</v>
      </c>
      <c r="I206" t="s">
        <v>181</v>
      </c>
      <c r="J206">
        <v>4</v>
      </c>
      <c r="K206">
        <v>13</v>
      </c>
      <c r="L206">
        <v>17</v>
      </c>
      <c r="M206">
        <v>8</v>
      </c>
    </row>
    <row r="207" spans="1:13" x14ac:dyDescent="0.25">
      <c r="A207">
        <v>206</v>
      </c>
      <c r="B207">
        <v>16</v>
      </c>
      <c r="C207">
        <v>13</v>
      </c>
      <c r="D207" s="2">
        <v>41832.608414351853</v>
      </c>
      <c r="E207" t="s">
        <v>179</v>
      </c>
      <c r="F207">
        <v>60</v>
      </c>
      <c r="G207" s="3">
        <v>10</v>
      </c>
      <c r="H207">
        <v>1368</v>
      </c>
      <c r="I207" t="s">
        <v>181</v>
      </c>
      <c r="J207">
        <v>13</v>
      </c>
      <c r="K207">
        <v>5</v>
      </c>
      <c r="L207">
        <v>8</v>
      </c>
      <c r="M207">
        <v>16</v>
      </c>
    </row>
    <row r="208" spans="1:13" x14ac:dyDescent="0.25">
      <c r="A208">
        <v>207</v>
      </c>
      <c r="B208">
        <v>16</v>
      </c>
      <c r="C208">
        <v>6</v>
      </c>
      <c r="D208" s="2">
        <v>41828.535474537035</v>
      </c>
      <c r="E208" t="s">
        <v>179</v>
      </c>
      <c r="F208">
        <v>270</v>
      </c>
      <c r="G208" s="3">
        <v>11</v>
      </c>
      <c r="H208">
        <v>0</v>
      </c>
      <c r="I208" t="s">
        <v>182</v>
      </c>
      <c r="J208">
        <v>0</v>
      </c>
      <c r="K208">
        <v>0</v>
      </c>
      <c r="L208">
        <v>0</v>
      </c>
      <c r="M208">
        <v>0</v>
      </c>
    </row>
    <row r="209" spans="1:13" x14ac:dyDescent="0.25">
      <c r="A209">
        <v>208</v>
      </c>
      <c r="B209">
        <v>16</v>
      </c>
      <c r="C209">
        <v>17</v>
      </c>
      <c r="D209" s="2">
        <v>41828.975763888891</v>
      </c>
      <c r="E209" t="s">
        <v>179</v>
      </c>
      <c r="F209">
        <v>90</v>
      </c>
      <c r="G209" s="3">
        <v>12</v>
      </c>
      <c r="H209">
        <v>1394</v>
      </c>
      <c r="I209" t="s">
        <v>181</v>
      </c>
      <c r="J209">
        <v>10</v>
      </c>
      <c r="K209">
        <v>6</v>
      </c>
      <c r="L209">
        <v>11</v>
      </c>
      <c r="M209">
        <v>15</v>
      </c>
    </row>
    <row r="210" spans="1:13" x14ac:dyDescent="0.25">
      <c r="A210">
        <v>209</v>
      </c>
      <c r="B210">
        <v>16</v>
      </c>
      <c r="C210">
        <v>10</v>
      </c>
      <c r="D210" s="2">
        <v>41832.930810185186</v>
      </c>
      <c r="E210" t="s">
        <v>179</v>
      </c>
      <c r="F210">
        <v>150</v>
      </c>
      <c r="G210" s="3">
        <v>13</v>
      </c>
      <c r="H210">
        <v>0</v>
      </c>
      <c r="I210" t="s">
        <v>182</v>
      </c>
      <c r="J210">
        <v>0</v>
      </c>
      <c r="K210">
        <v>0</v>
      </c>
      <c r="L210">
        <v>0</v>
      </c>
      <c r="M210">
        <v>0</v>
      </c>
    </row>
    <row r="211" spans="1:13" x14ac:dyDescent="0.25">
      <c r="A211">
        <v>210</v>
      </c>
      <c r="B211">
        <v>16</v>
      </c>
      <c r="C211">
        <v>16</v>
      </c>
      <c r="D211" s="2">
        <v>41829.505729166667</v>
      </c>
      <c r="E211" t="s">
        <v>179</v>
      </c>
      <c r="F211">
        <v>180</v>
      </c>
      <c r="G211" s="3">
        <v>14</v>
      </c>
      <c r="H211">
        <v>1318</v>
      </c>
      <c r="I211" t="s">
        <v>181</v>
      </c>
      <c r="J211">
        <v>17</v>
      </c>
      <c r="K211">
        <v>16</v>
      </c>
      <c r="L211">
        <v>4</v>
      </c>
      <c r="M211">
        <v>5</v>
      </c>
    </row>
    <row r="212" spans="1:13" x14ac:dyDescent="0.25">
      <c r="A212">
        <v>211</v>
      </c>
      <c r="B212">
        <v>16</v>
      </c>
      <c r="C212">
        <v>22</v>
      </c>
      <c r="D212" s="2">
        <v>41828.086226851854</v>
      </c>
      <c r="E212" t="s">
        <v>179</v>
      </c>
      <c r="F212">
        <v>270</v>
      </c>
      <c r="G212" s="3">
        <v>15</v>
      </c>
      <c r="H212">
        <v>1373</v>
      </c>
      <c r="I212" t="s">
        <v>181</v>
      </c>
      <c r="J212">
        <v>12</v>
      </c>
      <c r="K212">
        <v>18</v>
      </c>
      <c r="L212">
        <v>9</v>
      </c>
      <c r="M212">
        <v>3</v>
      </c>
    </row>
    <row r="213" spans="1:13" x14ac:dyDescent="0.25">
      <c r="A213">
        <v>212</v>
      </c>
      <c r="B213">
        <v>16</v>
      </c>
      <c r="C213">
        <v>29</v>
      </c>
      <c r="D213" s="2">
        <v>41832.666724537034</v>
      </c>
      <c r="E213" t="s">
        <v>179</v>
      </c>
      <c r="F213">
        <v>30</v>
      </c>
      <c r="G213" s="3">
        <v>16</v>
      </c>
      <c r="H213">
        <v>1285</v>
      </c>
      <c r="I213" t="s">
        <v>181</v>
      </c>
      <c r="J213">
        <v>20</v>
      </c>
      <c r="K213">
        <v>11</v>
      </c>
      <c r="L213">
        <v>1</v>
      </c>
      <c r="M213">
        <v>10</v>
      </c>
    </row>
    <row r="214" spans="1:13" x14ac:dyDescent="0.25">
      <c r="A214">
        <v>213</v>
      </c>
      <c r="B214">
        <v>16</v>
      </c>
      <c r="C214">
        <v>20</v>
      </c>
      <c r="D214" s="2">
        <v>41831.300694444442</v>
      </c>
      <c r="E214" t="s">
        <v>179</v>
      </c>
      <c r="F214">
        <v>90</v>
      </c>
      <c r="G214" s="3">
        <v>17</v>
      </c>
      <c r="H214">
        <v>1340</v>
      </c>
      <c r="I214" t="s">
        <v>181</v>
      </c>
      <c r="J214">
        <v>14</v>
      </c>
      <c r="K214">
        <v>12</v>
      </c>
      <c r="L214">
        <v>7</v>
      </c>
      <c r="M214">
        <v>9</v>
      </c>
    </row>
    <row r="215" spans="1:13" x14ac:dyDescent="0.25">
      <c r="A215">
        <v>214</v>
      </c>
      <c r="B215">
        <v>16</v>
      </c>
      <c r="C215">
        <v>3</v>
      </c>
      <c r="D215" s="2">
        <v>41830.173541666663</v>
      </c>
      <c r="E215" t="s">
        <v>179</v>
      </c>
      <c r="F215">
        <v>180</v>
      </c>
      <c r="G215" s="3">
        <v>18</v>
      </c>
      <c r="H215">
        <v>0</v>
      </c>
      <c r="I215" t="s">
        <v>182</v>
      </c>
      <c r="J215">
        <v>0</v>
      </c>
      <c r="K215">
        <v>0</v>
      </c>
      <c r="L215">
        <v>0</v>
      </c>
      <c r="M215">
        <v>0</v>
      </c>
    </row>
    <row r="216" spans="1:13" x14ac:dyDescent="0.25">
      <c r="A216">
        <v>215</v>
      </c>
      <c r="B216">
        <v>16</v>
      </c>
      <c r="C216">
        <v>23</v>
      </c>
      <c r="D216" s="2">
        <v>41832.114652777775</v>
      </c>
      <c r="E216" t="s">
        <v>179</v>
      </c>
      <c r="F216">
        <v>270</v>
      </c>
      <c r="G216" s="3">
        <v>19</v>
      </c>
      <c r="H216">
        <v>1316</v>
      </c>
      <c r="I216" t="s">
        <v>181</v>
      </c>
      <c r="J216">
        <v>18</v>
      </c>
      <c r="K216">
        <v>20</v>
      </c>
      <c r="L216">
        <v>3</v>
      </c>
      <c r="M216">
        <v>1</v>
      </c>
    </row>
    <row r="217" spans="1:13" x14ac:dyDescent="0.25">
      <c r="A217">
        <v>216</v>
      </c>
      <c r="B217">
        <v>16</v>
      </c>
      <c r="C217">
        <v>18</v>
      </c>
      <c r="D217" s="2">
        <v>41832.711828703701</v>
      </c>
      <c r="E217" t="s">
        <v>179</v>
      </c>
      <c r="F217">
        <v>120</v>
      </c>
      <c r="G217" s="3">
        <v>20</v>
      </c>
      <c r="H217">
        <v>1375</v>
      </c>
      <c r="I217" t="s">
        <v>181</v>
      </c>
      <c r="J217">
        <v>11</v>
      </c>
      <c r="K217">
        <v>11</v>
      </c>
      <c r="L217">
        <v>10</v>
      </c>
      <c r="M217">
        <v>10</v>
      </c>
    </row>
    <row r="218" spans="1:13" x14ac:dyDescent="0.25">
      <c r="A218">
        <v>217</v>
      </c>
      <c r="B218">
        <v>16</v>
      </c>
      <c r="C218">
        <v>8</v>
      </c>
      <c r="D218" s="2">
        <v>41830.654143518521</v>
      </c>
      <c r="E218" t="s">
        <v>179</v>
      </c>
      <c r="F218">
        <v>90</v>
      </c>
      <c r="G218" s="3">
        <v>21</v>
      </c>
      <c r="H218">
        <v>0</v>
      </c>
      <c r="I218" t="s">
        <v>182</v>
      </c>
      <c r="J218">
        <v>0</v>
      </c>
      <c r="K218">
        <v>0</v>
      </c>
      <c r="L218">
        <v>0</v>
      </c>
      <c r="M218">
        <v>0</v>
      </c>
    </row>
    <row r="219" spans="1:13" x14ac:dyDescent="0.25">
      <c r="A219">
        <v>218</v>
      </c>
      <c r="B219">
        <v>16</v>
      </c>
      <c r="C219">
        <v>31</v>
      </c>
      <c r="D219" s="2">
        <v>41831.677465277775</v>
      </c>
      <c r="E219" t="s">
        <v>179</v>
      </c>
      <c r="F219">
        <v>300</v>
      </c>
      <c r="G219" s="3">
        <v>22</v>
      </c>
      <c r="H219">
        <v>0</v>
      </c>
      <c r="I219" t="s">
        <v>180</v>
      </c>
      <c r="J219">
        <v>0</v>
      </c>
      <c r="K219">
        <v>0</v>
      </c>
      <c r="L219">
        <v>0</v>
      </c>
      <c r="M219">
        <v>0</v>
      </c>
    </row>
    <row r="220" spans="1:13" x14ac:dyDescent="0.25">
      <c r="A220">
        <v>219</v>
      </c>
      <c r="B220">
        <v>16</v>
      </c>
      <c r="C220">
        <v>9</v>
      </c>
      <c r="D220" s="2">
        <v>41831.556921296295</v>
      </c>
      <c r="E220" t="s">
        <v>179</v>
      </c>
      <c r="F220">
        <v>30</v>
      </c>
      <c r="G220" s="3">
        <v>23</v>
      </c>
      <c r="H220">
        <v>1325</v>
      </c>
      <c r="I220" t="s">
        <v>181</v>
      </c>
      <c r="J220">
        <v>16</v>
      </c>
      <c r="K220">
        <v>8</v>
      </c>
      <c r="L220">
        <v>5</v>
      </c>
      <c r="M220">
        <v>13</v>
      </c>
    </row>
    <row r="221" spans="1:13" x14ac:dyDescent="0.25">
      <c r="A221">
        <v>220</v>
      </c>
      <c r="B221">
        <v>16</v>
      </c>
      <c r="C221">
        <v>14</v>
      </c>
      <c r="D221" s="2">
        <v>41832.830914351849</v>
      </c>
      <c r="E221" t="s">
        <v>179</v>
      </c>
      <c r="F221">
        <v>240</v>
      </c>
      <c r="G221" s="3">
        <v>24</v>
      </c>
      <c r="H221">
        <v>1308</v>
      </c>
      <c r="I221" t="s">
        <v>181</v>
      </c>
      <c r="J221">
        <v>19</v>
      </c>
      <c r="K221">
        <v>19</v>
      </c>
      <c r="L221">
        <v>2</v>
      </c>
      <c r="M221">
        <v>2</v>
      </c>
    </row>
    <row r="222" spans="1:13" x14ac:dyDescent="0.25">
      <c r="A222">
        <v>221</v>
      </c>
      <c r="B222">
        <v>17</v>
      </c>
      <c r="C222">
        <v>30</v>
      </c>
      <c r="D222" s="2">
        <v>41833.454722222225</v>
      </c>
      <c r="E222" t="s">
        <v>179</v>
      </c>
      <c r="F222">
        <v>90</v>
      </c>
      <c r="G222" s="3">
        <v>1</v>
      </c>
      <c r="H222">
        <v>1639</v>
      </c>
      <c r="I222" t="s">
        <v>181</v>
      </c>
      <c r="J222">
        <v>15</v>
      </c>
      <c r="K222">
        <v>14</v>
      </c>
      <c r="L222">
        <v>6</v>
      </c>
      <c r="M222">
        <v>7</v>
      </c>
    </row>
    <row r="223" spans="1:13" x14ac:dyDescent="0.25">
      <c r="A223">
        <v>222</v>
      </c>
      <c r="B223">
        <v>17</v>
      </c>
      <c r="C223">
        <v>17</v>
      </c>
      <c r="D223" s="2">
        <v>41835.686168981483</v>
      </c>
      <c r="E223" t="s">
        <v>179</v>
      </c>
      <c r="F223">
        <v>60</v>
      </c>
      <c r="G223" s="3">
        <v>2</v>
      </c>
      <c r="H223">
        <v>1620</v>
      </c>
      <c r="I223" t="s">
        <v>181</v>
      </c>
      <c r="J223">
        <v>17</v>
      </c>
      <c r="K223">
        <v>13</v>
      </c>
      <c r="L223">
        <v>4</v>
      </c>
      <c r="M223">
        <v>8</v>
      </c>
    </row>
    <row r="224" spans="1:13" x14ac:dyDescent="0.25">
      <c r="A224">
        <v>223</v>
      </c>
      <c r="B224">
        <v>17</v>
      </c>
      <c r="C224">
        <v>25</v>
      </c>
      <c r="D224" s="2">
        <v>41836.877523148149</v>
      </c>
      <c r="E224" t="s">
        <v>179</v>
      </c>
      <c r="F224">
        <v>270</v>
      </c>
      <c r="G224" s="3">
        <v>3</v>
      </c>
      <c r="H224">
        <v>1600</v>
      </c>
      <c r="I224" t="s">
        <v>181</v>
      </c>
      <c r="J224">
        <v>18</v>
      </c>
      <c r="K224">
        <v>20</v>
      </c>
      <c r="L224">
        <v>3</v>
      </c>
      <c r="M224">
        <v>1</v>
      </c>
    </row>
    <row r="225" spans="1:13" x14ac:dyDescent="0.25">
      <c r="A225">
        <v>224</v>
      </c>
      <c r="B225">
        <v>17</v>
      </c>
      <c r="C225">
        <v>6</v>
      </c>
      <c r="D225" s="2">
        <v>41833.151331018518</v>
      </c>
      <c r="E225" t="s">
        <v>179</v>
      </c>
      <c r="F225">
        <v>240</v>
      </c>
      <c r="G225" s="3">
        <v>4</v>
      </c>
      <c r="H225">
        <v>1580</v>
      </c>
      <c r="I225" t="s">
        <v>181</v>
      </c>
      <c r="J225">
        <v>20</v>
      </c>
      <c r="K225">
        <v>19</v>
      </c>
      <c r="L225">
        <v>1</v>
      </c>
      <c r="M225">
        <v>2</v>
      </c>
    </row>
    <row r="226" spans="1:13" x14ac:dyDescent="0.25">
      <c r="A226">
        <v>225</v>
      </c>
      <c r="B226">
        <v>17</v>
      </c>
      <c r="C226">
        <v>21</v>
      </c>
      <c r="D226" s="2">
        <v>41835.091284722221</v>
      </c>
      <c r="E226" t="s">
        <v>179</v>
      </c>
      <c r="F226">
        <v>90</v>
      </c>
      <c r="G226" s="3">
        <v>5</v>
      </c>
      <c r="H226">
        <v>1730</v>
      </c>
      <c r="I226" t="s">
        <v>181</v>
      </c>
      <c r="J226">
        <v>9</v>
      </c>
      <c r="K226">
        <v>11</v>
      </c>
      <c r="L226">
        <v>12</v>
      </c>
      <c r="M226">
        <v>10</v>
      </c>
    </row>
    <row r="227" spans="1:13" x14ac:dyDescent="0.25">
      <c r="A227">
        <v>226</v>
      </c>
      <c r="B227">
        <v>17</v>
      </c>
      <c r="C227">
        <v>31</v>
      </c>
      <c r="D227" s="2">
        <v>41836.354675925926</v>
      </c>
      <c r="E227" t="s">
        <v>179</v>
      </c>
      <c r="F227">
        <v>60</v>
      </c>
      <c r="G227" s="3">
        <v>6</v>
      </c>
      <c r="H227">
        <v>1711</v>
      </c>
      <c r="I227" t="s">
        <v>181</v>
      </c>
      <c r="J227">
        <v>11</v>
      </c>
      <c r="K227">
        <v>10</v>
      </c>
      <c r="L227">
        <v>10</v>
      </c>
      <c r="M227">
        <v>11</v>
      </c>
    </row>
    <row r="228" spans="1:13" x14ac:dyDescent="0.25">
      <c r="A228">
        <v>227</v>
      </c>
      <c r="B228">
        <v>17</v>
      </c>
      <c r="C228">
        <v>23</v>
      </c>
      <c r="D228" s="2">
        <v>41832.544641203705</v>
      </c>
      <c r="E228" t="s">
        <v>179</v>
      </c>
      <c r="F228">
        <v>30</v>
      </c>
      <c r="G228" s="3">
        <v>7</v>
      </c>
      <c r="H228">
        <v>1691</v>
      </c>
      <c r="I228" t="s">
        <v>181</v>
      </c>
      <c r="J228">
        <v>12</v>
      </c>
      <c r="K228">
        <v>9</v>
      </c>
      <c r="L228">
        <v>9</v>
      </c>
      <c r="M228">
        <v>12</v>
      </c>
    </row>
    <row r="229" spans="1:13" x14ac:dyDescent="0.25">
      <c r="A229">
        <v>228</v>
      </c>
      <c r="B229">
        <v>17</v>
      </c>
      <c r="C229">
        <v>14</v>
      </c>
      <c r="D229" s="2">
        <v>41833.52747685185</v>
      </c>
      <c r="E229" t="s">
        <v>179</v>
      </c>
      <c r="F229">
        <v>240</v>
      </c>
      <c r="G229" s="3">
        <v>8</v>
      </c>
      <c r="H229">
        <v>1671</v>
      </c>
      <c r="I229" t="s">
        <v>181</v>
      </c>
      <c r="J229">
        <v>13</v>
      </c>
      <c r="K229">
        <v>18</v>
      </c>
      <c r="L229">
        <v>8</v>
      </c>
      <c r="M229">
        <v>3</v>
      </c>
    </row>
    <row r="230" spans="1:13" x14ac:dyDescent="0.25">
      <c r="A230">
        <v>229</v>
      </c>
      <c r="B230">
        <v>17</v>
      </c>
      <c r="C230">
        <v>15</v>
      </c>
      <c r="D230" s="2">
        <v>41835.759108796294</v>
      </c>
      <c r="E230" t="s">
        <v>179</v>
      </c>
      <c r="F230">
        <v>180</v>
      </c>
      <c r="G230" s="3">
        <v>9</v>
      </c>
      <c r="H230">
        <v>1651</v>
      </c>
      <c r="I230" t="s">
        <v>181</v>
      </c>
      <c r="J230">
        <v>14</v>
      </c>
      <c r="K230">
        <v>17</v>
      </c>
      <c r="L230">
        <v>7</v>
      </c>
      <c r="M230">
        <v>4</v>
      </c>
    </row>
    <row r="231" spans="1:13" x14ac:dyDescent="0.25">
      <c r="A231">
        <v>230</v>
      </c>
      <c r="B231">
        <v>17</v>
      </c>
      <c r="C231">
        <v>11</v>
      </c>
      <c r="D231" s="2">
        <v>41837.991249999999</v>
      </c>
      <c r="E231" t="s">
        <v>179</v>
      </c>
      <c r="F231">
        <v>90</v>
      </c>
      <c r="G231" s="3">
        <v>10</v>
      </c>
      <c r="H231">
        <v>0</v>
      </c>
      <c r="I231" t="s">
        <v>180</v>
      </c>
      <c r="J231">
        <v>0</v>
      </c>
      <c r="K231">
        <v>0</v>
      </c>
      <c r="L231">
        <v>0</v>
      </c>
      <c r="M231">
        <v>0</v>
      </c>
    </row>
    <row r="232" spans="1:13" x14ac:dyDescent="0.25">
      <c r="A232">
        <v>231</v>
      </c>
      <c r="B232">
        <v>17</v>
      </c>
      <c r="C232">
        <v>1</v>
      </c>
      <c r="D232" s="2">
        <v>41833.378622685188</v>
      </c>
      <c r="E232" t="s">
        <v>179</v>
      </c>
      <c r="F232">
        <v>90</v>
      </c>
      <c r="G232" s="3">
        <v>11</v>
      </c>
      <c r="H232">
        <v>1585</v>
      </c>
      <c r="I232" t="s">
        <v>181</v>
      </c>
      <c r="J232">
        <v>19</v>
      </c>
      <c r="K232">
        <v>16</v>
      </c>
      <c r="L232">
        <v>2</v>
      </c>
      <c r="M232">
        <v>5</v>
      </c>
    </row>
    <row r="233" spans="1:13" x14ac:dyDescent="0.25">
      <c r="A233">
        <v>232</v>
      </c>
      <c r="B233">
        <v>17</v>
      </c>
      <c r="C233">
        <v>28</v>
      </c>
      <c r="D233" s="2">
        <v>41834.306377314817</v>
      </c>
      <c r="E233" t="s">
        <v>179</v>
      </c>
      <c r="F233">
        <v>180</v>
      </c>
      <c r="G233" s="3">
        <v>12</v>
      </c>
      <c r="H233">
        <v>1724</v>
      </c>
      <c r="I233" t="s">
        <v>181</v>
      </c>
      <c r="J233">
        <v>10</v>
      </c>
      <c r="K233">
        <v>15</v>
      </c>
      <c r="L233">
        <v>11</v>
      </c>
      <c r="M233">
        <v>6</v>
      </c>
    </row>
    <row r="234" spans="1:13" x14ac:dyDescent="0.25">
      <c r="A234">
        <v>233</v>
      </c>
      <c r="B234">
        <v>17</v>
      </c>
      <c r="C234">
        <v>5</v>
      </c>
      <c r="D234" s="2">
        <v>41834.233622685184</v>
      </c>
      <c r="E234" t="s">
        <v>179</v>
      </c>
      <c r="F234">
        <v>60</v>
      </c>
      <c r="G234" s="3">
        <v>13</v>
      </c>
      <c r="H234">
        <v>1630</v>
      </c>
      <c r="I234" t="s">
        <v>181</v>
      </c>
      <c r="J234">
        <v>16</v>
      </c>
      <c r="K234">
        <v>12</v>
      </c>
      <c r="L234">
        <v>5</v>
      </c>
      <c r="M234">
        <v>9</v>
      </c>
    </row>
    <row r="235" spans="1:13" x14ac:dyDescent="0.25">
      <c r="A235">
        <v>234</v>
      </c>
      <c r="B235">
        <v>17</v>
      </c>
      <c r="C235">
        <v>29</v>
      </c>
      <c r="D235" s="2">
        <v>41834.131006944444</v>
      </c>
      <c r="E235" t="s">
        <v>179</v>
      </c>
      <c r="F235">
        <v>270</v>
      </c>
      <c r="G235" s="3">
        <v>14</v>
      </c>
      <c r="H235">
        <v>0</v>
      </c>
      <c r="I235" t="s">
        <v>182</v>
      </c>
      <c r="J235">
        <v>0</v>
      </c>
      <c r="K235">
        <v>0</v>
      </c>
      <c r="L235">
        <v>0</v>
      </c>
      <c r="M235">
        <v>0</v>
      </c>
    </row>
    <row r="236" spans="1:13" x14ac:dyDescent="0.25">
      <c r="A236">
        <v>235</v>
      </c>
      <c r="B236">
        <v>17</v>
      </c>
      <c r="C236">
        <v>9</v>
      </c>
      <c r="D236" s="2">
        <v>41837.543321759258</v>
      </c>
      <c r="E236" t="s">
        <v>179</v>
      </c>
      <c r="F236">
        <v>180</v>
      </c>
      <c r="G236" s="3">
        <v>15</v>
      </c>
      <c r="H236">
        <v>0</v>
      </c>
      <c r="I236" t="s">
        <v>180</v>
      </c>
      <c r="J236">
        <v>0</v>
      </c>
      <c r="K236">
        <v>0</v>
      </c>
      <c r="L236">
        <v>0</v>
      </c>
      <c r="M236">
        <v>0</v>
      </c>
    </row>
    <row r="237" spans="1:13" x14ac:dyDescent="0.25">
      <c r="A237">
        <v>236</v>
      </c>
      <c r="B237">
        <v>18</v>
      </c>
      <c r="C237">
        <v>1</v>
      </c>
      <c r="D237" s="2">
        <v>41839.898946759262</v>
      </c>
      <c r="E237" t="s">
        <v>179</v>
      </c>
      <c r="F237">
        <v>60</v>
      </c>
      <c r="G237" s="3">
        <v>1</v>
      </c>
      <c r="H237">
        <v>1782</v>
      </c>
      <c r="I237" t="s">
        <v>181</v>
      </c>
      <c r="J237">
        <v>12</v>
      </c>
      <c r="K237">
        <v>5</v>
      </c>
      <c r="L237">
        <v>9</v>
      </c>
      <c r="M237">
        <v>16</v>
      </c>
    </row>
    <row r="238" spans="1:13" x14ac:dyDescent="0.25">
      <c r="A238">
        <v>237</v>
      </c>
      <c r="B238">
        <v>18</v>
      </c>
      <c r="C238">
        <v>7</v>
      </c>
      <c r="D238" s="2">
        <v>41841.76834490741</v>
      </c>
      <c r="E238" t="s">
        <v>179</v>
      </c>
      <c r="F238">
        <v>30</v>
      </c>
      <c r="G238" s="3">
        <v>2</v>
      </c>
      <c r="H238">
        <v>1930</v>
      </c>
      <c r="I238" t="s">
        <v>181</v>
      </c>
      <c r="J238">
        <v>4</v>
      </c>
      <c r="K238">
        <v>1</v>
      </c>
      <c r="L238">
        <v>17</v>
      </c>
      <c r="M238">
        <v>20</v>
      </c>
    </row>
    <row r="239" spans="1:13" x14ac:dyDescent="0.25">
      <c r="A239">
        <v>238</v>
      </c>
      <c r="B239">
        <v>18</v>
      </c>
      <c r="C239">
        <v>28</v>
      </c>
      <c r="D239" s="2">
        <v>41837.375949074078</v>
      </c>
      <c r="E239" t="s">
        <v>179</v>
      </c>
      <c r="F239">
        <v>0</v>
      </c>
      <c r="G239" s="3">
        <v>3</v>
      </c>
      <c r="H239">
        <v>0</v>
      </c>
      <c r="I239" t="s">
        <v>182</v>
      </c>
      <c r="J239">
        <v>0</v>
      </c>
      <c r="K239">
        <v>0</v>
      </c>
      <c r="L239">
        <v>0</v>
      </c>
      <c r="M239">
        <v>0</v>
      </c>
    </row>
    <row r="240" spans="1:13" x14ac:dyDescent="0.25">
      <c r="A240">
        <v>239</v>
      </c>
      <c r="B240">
        <v>18</v>
      </c>
      <c r="C240">
        <v>2</v>
      </c>
      <c r="D240" s="2">
        <v>41840.38653935185</v>
      </c>
      <c r="E240" t="s">
        <v>179</v>
      </c>
      <c r="F240">
        <v>150</v>
      </c>
      <c r="G240" s="3">
        <v>4</v>
      </c>
      <c r="H240">
        <v>1938</v>
      </c>
      <c r="I240" t="s">
        <v>181</v>
      </c>
      <c r="J240">
        <v>3</v>
      </c>
      <c r="K240">
        <v>2</v>
      </c>
      <c r="L240">
        <v>18</v>
      </c>
      <c r="M240">
        <v>19</v>
      </c>
    </row>
    <row r="241" spans="1:13" x14ac:dyDescent="0.25">
      <c r="A241">
        <v>240</v>
      </c>
      <c r="B241">
        <v>18</v>
      </c>
      <c r="C241">
        <v>21</v>
      </c>
      <c r="D241" s="2">
        <v>41837.923761574071</v>
      </c>
      <c r="E241" t="s">
        <v>179</v>
      </c>
      <c r="F241">
        <v>150</v>
      </c>
      <c r="G241" s="3">
        <v>5</v>
      </c>
      <c r="H241">
        <v>1740</v>
      </c>
      <c r="I241" t="s">
        <v>181</v>
      </c>
      <c r="J241">
        <v>16</v>
      </c>
      <c r="K241">
        <v>16</v>
      </c>
      <c r="L241">
        <v>5</v>
      </c>
      <c r="M241">
        <v>5</v>
      </c>
    </row>
    <row r="242" spans="1:13" x14ac:dyDescent="0.25">
      <c r="A242">
        <v>241</v>
      </c>
      <c r="B242">
        <v>18</v>
      </c>
      <c r="C242">
        <v>25</v>
      </c>
      <c r="D242" s="2">
        <v>41839.241030092591</v>
      </c>
      <c r="E242" t="s">
        <v>179</v>
      </c>
      <c r="F242">
        <v>120</v>
      </c>
      <c r="G242" s="3">
        <v>6</v>
      </c>
      <c r="H242">
        <v>1731</v>
      </c>
      <c r="I242" t="s">
        <v>181</v>
      </c>
      <c r="J242">
        <v>17</v>
      </c>
      <c r="K242">
        <v>14</v>
      </c>
      <c r="L242">
        <v>4</v>
      </c>
      <c r="M242">
        <v>7</v>
      </c>
    </row>
    <row r="243" spans="1:13" x14ac:dyDescent="0.25">
      <c r="A243">
        <v>242</v>
      </c>
      <c r="B243">
        <v>18</v>
      </c>
      <c r="C243">
        <v>16</v>
      </c>
      <c r="D243" s="2">
        <v>41844.528252314813</v>
      </c>
      <c r="E243" t="s">
        <v>179</v>
      </c>
      <c r="F243">
        <v>180</v>
      </c>
      <c r="G243" s="3">
        <v>7</v>
      </c>
      <c r="H243">
        <v>1791</v>
      </c>
      <c r="I243" t="s">
        <v>181</v>
      </c>
      <c r="J243">
        <v>11</v>
      </c>
      <c r="K243">
        <v>14</v>
      </c>
      <c r="L243">
        <v>10</v>
      </c>
      <c r="M243">
        <v>7</v>
      </c>
    </row>
    <row r="244" spans="1:13" x14ac:dyDescent="0.25">
      <c r="A244">
        <v>243</v>
      </c>
      <c r="B244">
        <v>18</v>
      </c>
      <c r="C244">
        <v>24</v>
      </c>
      <c r="D244" s="2">
        <v>41840.054363425923</v>
      </c>
      <c r="E244" t="s">
        <v>179</v>
      </c>
      <c r="F244">
        <v>150</v>
      </c>
      <c r="G244" s="3">
        <v>8</v>
      </c>
      <c r="H244">
        <v>1850</v>
      </c>
      <c r="I244" t="s">
        <v>181</v>
      </c>
      <c r="J244">
        <v>8</v>
      </c>
      <c r="K244">
        <v>6</v>
      </c>
      <c r="L244">
        <v>13</v>
      </c>
      <c r="M244">
        <v>15</v>
      </c>
    </row>
    <row r="245" spans="1:13" x14ac:dyDescent="0.25">
      <c r="A245">
        <v>244</v>
      </c>
      <c r="B245">
        <v>18</v>
      </c>
      <c r="C245">
        <v>10</v>
      </c>
      <c r="D245" s="2">
        <v>41837.341585648152</v>
      </c>
      <c r="E245" t="s">
        <v>179</v>
      </c>
      <c r="F245">
        <v>150</v>
      </c>
      <c r="G245" s="3">
        <v>9</v>
      </c>
      <c r="H245">
        <v>1841</v>
      </c>
      <c r="I245" t="s">
        <v>181</v>
      </c>
      <c r="J245">
        <v>9</v>
      </c>
      <c r="K245">
        <v>7</v>
      </c>
      <c r="L245">
        <v>12</v>
      </c>
      <c r="M245">
        <v>14</v>
      </c>
    </row>
    <row r="246" spans="1:13" x14ac:dyDescent="0.25">
      <c r="A246">
        <v>245</v>
      </c>
      <c r="B246">
        <v>18</v>
      </c>
      <c r="C246">
        <v>8</v>
      </c>
      <c r="D246" s="2">
        <v>41841.878113425926</v>
      </c>
      <c r="E246" t="s">
        <v>179</v>
      </c>
      <c r="F246">
        <v>240</v>
      </c>
      <c r="G246" s="3">
        <v>10</v>
      </c>
      <c r="H246">
        <v>1900</v>
      </c>
      <c r="I246" t="s">
        <v>181</v>
      </c>
      <c r="J246">
        <v>5</v>
      </c>
      <c r="K246">
        <v>9</v>
      </c>
      <c r="L246">
        <v>16</v>
      </c>
      <c r="M246">
        <v>12</v>
      </c>
    </row>
    <row r="247" spans="1:13" x14ac:dyDescent="0.25">
      <c r="A247">
        <v>246</v>
      </c>
      <c r="B247">
        <v>18</v>
      </c>
      <c r="C247">
        <v>23</v>
      </c>
      <c r="D247" s="2">
        <v>41838.154398148145</v>
      </c>
      <c r="E247" t="s">
        <v>179</v>
      </c>
      <c r="F247">
        <v>180</v>
      </c>
      <c r="G247" s="3">
        <v>11</v>
      </c>
      <c r="H247">
        <v>1960</v>
      </c>
      <c r="I247" t="s">
        <v>181</v>
      </c>
      <c r="J247">
        <v>1</v>
      </c>
      <c r="K247">
        <v>3</v>
      </c>
      <c r="L247">
        <v>20</v>
      </c>
      <c r="M247">
        <v>18</v>
      </c>
    </row>
    <row r="248" spans="1:13" x14ac:dyDescent="0.25">
      <c r="A248">
        <v>247</v>
      </c>
      <c r="B248">
        <v>18</v>
      </c>
      <c r="C248">
        <v>29</v>
      </c>
      <c r="D248" s="2">
        <v>41839.516481481478</v>
      </c>
      <c r="E248" t="s">
        <v>179</v>
      </c>
      <c r="F248">
        <v>180</v>
      </c>
      <c r="G248" s="3">
        <v>12</v>
      </c>
      <c r="H248">
        <v>1710</v>
      </c>
      <c r="I248" t="s">
        <v>181</v>
      </c>
      <c r="J248">
        <v>19</v>
      </c>
      <c r="K248">
        <v>18</v>
      </c>
      <c r="L248">
        <v>2</v>
      </c>
      <c r="M248">
        <v>3</v>
      </c>
    </row>
    <row r="249" spans="1:13" x14ac:dyDescent="0.25">
      <c r="A249">
        <v>248</v>
      </c>
      <c r="B249">
        <v>18</v>
      </c>
      <c r="C249">
        <v>31</v>
      </c>
      <c r="D249" s="2">
        <v>41843.750231481485</v>
      </c>
      <c r="E249" t="s">
        <v>179</v>
      </c>
      <c r="F249">
        <v>180</v>
      </c>
      <c r="G249" s="3">
        <v>13</v>
      </c>
      <c r="H249">
        <v>1958</v>
      </c>
      <c r="I249" t="s">
        <v>181</v>
      </c>
      <c r="J249">
        <v>2</v>
      </c>
      <c r="K249">
        <v>4</v>
      </c>
      <c r="L249">
        <v>19</v>
      </c>
      <c r="M249">
        <v>17</v>
      </c>
    </row>
    <row r="250" spans="1:13" x14ac:dyDescent="0.25">
      <c r="A250">
        <v>249</v>
      </c>
      <c r="B250">
        <v>18</v>
      </c>
      <c r="C250">
        <v>9</v>
      </c>
      <c r="D250" s="2">
        <v>41840.371481481481</v>
      </c>
      <c r="E250" t="s">
        <v>179</v>
      </c>
      <c r="F250">
        <v>150</v>
      </c>
      <c r="G250" s="3">
        <v>14</v>
      </c>
      <c r="H250">
        <v>1760</v>
      </c>
      <c r="I250" t="s">
        <v>181</v>
      </c>
      <c r="J250">
        <v>14</v>
      </c>
      <c r="K250">
        <v>15</v>
      </c>
      <c r="L250">
        <v>7</v>
      </c>
      <c r="M250">
        <v>6</v>
      </c>
    </row>
    <row r="251" spans="1:13" x14ac:dyDescent="0.25">
      <c r="A251">
        <v>250</v>
      </c>
      <c r="B251">
        <v>18</v>
      </c>
      <c r="C251">
        <v>19</v>
      </c>
      <c r="D251" s="2">
        <v>41837.616527777776</v>
      </c>
      <c r="E251" t="s">
        <v>179</v>
      </c>
      <c r="F251">
        <v>240</v>
      </c>
      <c r="G251" s="3">
        <v>15</v>
      </c>
      <c r="H251">
        <v>1820</v>
      </c>
      <c r="I251" t="s">
        <v>181</v>
      </c>
      <c r="J251">
        <v>10</v>
      </c>
      <c r="K251">
        <v>17</v>
      </c>
      <c r="L251">
        <v>11</v>
      </c>
      <c r="M251">
        <v>4</v>
      </c>
    </row>
    <row r="252" spans="1:13" x14ac:dyDescent="0.25">
      <c r="A252">
        <v>251</v>
      </c>
      <c r="B252">
        <v>18</v>
      </c>
      <c r="C252">
        <v>5</v>
      </c>
      <c r="D252" s="2">
        <v>41841.183611111112</v>
      </c>
      <c r="E252" t="s">
        <v>179</v>
      </c>
      <c r="F252">
        <v>240</v>
      </c>
      <c r="G252" s="3">
        <v>16</v>
      </c>
      <c r="H252">
        <v>1879</v>
      </c>
      <c r="I252" t="s">
        <v>181</v>
      </c>
      <c r="J252">
        <v>6</v>
      </c>
      <c r="K252">
        <v>11</v>
      </c>
      <c r="L252">
        <v>15</v>
      </c>
      <c r="M252">
        <v>10</v>
      </c>
    </row>
    <row r="253" spans="1:13" x14ac:dyDescent="0.25">
      <c r="A253">
        <v>252</v>
      </c>
      <c r="B253">
        <v>18</v>
      </c>
      <c r="C253">
        <v>3</v>
      </c>
      <c r="D253" s="2">
        <v>41838.429849537039</v>
      </c>
      <c r="E253" t="s">
        <v>179</v>
      </c>
      <c r="F253">
        <v>180</v>
      </c>
      <c r="G253" s="3">
        <v>17</v>
      </c>
      <c r="H253">
        <v>1870</v>
      </c>
      <c r="I253" t="s">
        <v>181</v>
      </c>
      <c r="J253">
        <v>7</v>
      </c>
      <c r="K253">
        <v>8</v>
      </c>
      <c r="L253">
        <v>14</v>
      </c>
      <c r="M253">
        <v>13</v>
      </c>
    </row>
    <row r="254" spans="1:13" x14ac:dyDescent="0.25">
      <c r="A254">
        <v>253</v>
      </c>
      <c r="B254">
        <v>18</v>
      </c>
      <c r="C254">
        <v>13</v>
      </c>
      <c r="D254" s="2">
        <v>41842.996932870374</v>
      </c>
      <c r="E254" t="s">
        <v>179</v>
      </c>
      <c r="F254">
        <v>270</v>
      </c>
      <c r="G254" s="3">
        <v>18</v>
      </c>
      <c r="H254">
        <v>0</v>
      </c>
      <c r="I254" t="s">
        <v>180</v>
      </c>
      <c r="J254">
        <v>0</v>
      </c>
      <c r="K254">
        <v>0</v>
      </c>
      <c r="L254">
        <v>0</v>
      </c>
      <c r="M254">
        <v>0</v>
      </c>
    </row>
    <row r="255" spans="1:13" x14ac:dyDescent="0.25">
      <c r="A255">
        <v>254</v>
      </c>
      <c r="B255">
        <v>18</v>
      </c>
      <c r="C255">
        <v>11</v>
      </c>
      <c r="D255" s="2">
        <v>41839.834907407407</v>
      </c>
      <c r="E255" t="s">
        <v>179</v>
      </c>
      <c r="F255">
        <v>270</v>
      </c>
      <c r="G255" s="3">
        <v>19</v>
      </c>
      <c r="H255">
        <v>1772</v>
      </c>
      <c r="I255" t="s">
        <v>181</v>
      </c>
      <c r="J255">
        <v>13</v>
      </c>
      <c r="K255">
        <v>20</v>
      </c>
      <c r="L255">
        <v>8</v>
      </c>
      <c r="M255">
        <v>1</v>
      </c>
    </row>
    <row r="256" spans="1:13" x14ac:dyDescent="0.25">
      <c r="A256">
        <v>255</v>
      </c>
      <c r="B256">
        <v>18</v>
      </c>
      <c r="C256">
        <v>12</v>
      </c>
      <c r="D256" s="2">
        <v>41841.108900462961</v>
      </c>
      <c r="E256" t="s">
        <v>179</v>
      </c>
      <c r="F256">
        <v>240</v>
      </c>
      <c r="G256" s="3">
        <v>20</v>
      </c>
      <c r="H256">
        <v>1750</v>
      </c>
      <c r="I256" t="s">
        <v>181</v>
      </c>
      <c r="J256">
        <v>15</v>
      </c>
      <c r="K256">
        <v>19</v>
      </c>
      <c r="L256">
        <v>6</v>
      </c>
      <c r="M256">
        <v>2</v>
      </c>
    </row>
    <row r="257" spans="1:13" x14ac:dyDescent="0.25">
      <c r="A257">
        <v>256</v>
      </c>
      <c r="B257">
        <v>18</v>
      </c>
      <c r="C257">
        <v>15</v>
      </c>
      <c r="D257" s="2">
        <v>41843.048680555556</v>
      </c>
      <c r="E257" t="s">
        <v>179</v>
      </c>
      <c r="F257">
        <v>90</v>
      </c>
      <c r="G257" s="3">
        <v>21</v>
      </c>
      <c r="H257">
        <v>1728</v>
      </c>
      <c r="I257" t="s">
        <v>181</v>
      </c>
      <c r="J257">
        <v>18</v>
      </c>
      <c r="K257">
        <v>12</v>
      </c>
      <c r="L257">
        <v>3</v>
      </c>
      <c r="M257">
        <v>9</v>
      </c>
    </row>
    <row r="258" spans="1:13" x14ac:dyDescent="0.25">
      <c r="A258">
        <v>257</v>
      </c>
      <c r="B258">
        <v>18</v>
      </c>
      <c r="C258">
        <v>17</v>
      </c>
      <c r="D258" s="2">
        <v>41837.323368055557</v>
      </c>
      <c r="E258" t="s">
        <v>179</v>
      </c>
      <c r="F258">
        <v>60</v>
      </c>
      <c r="G258" s="3">
        <v>22</v>
      </c>
      <c r="H258">
        <v>1707</v>
      </c>
      <c r="I258" t="s">
        <v>181</v>
      </c>
      <c r="J258">
        <v>20</v>
      </c>
      <c r="K258">
        <v>10</v>
      </c>
      <c r="L258">
        <v>1</v>
      </c>
      <c r="M258">
        <v>11</v>
      </c>
    </row>
    <row r="259" spans="1:13" x14ac:dyDescent="0.25">
      <c r="A259">
        <v>258</v>
      </c>
      <c r="B259">
        <v>19</v>
      </c>
      <c r="C259">
        <v>21</v>
      </c>
      <c r="D259" s="2">
        <v>41849.902499999997</v>
      </c>
      <c r="E259" t="s">
        <v>179</v>
      </c>
      <c r="F259">
        <v>120</v>
      </c>
      <c r="G259" s="3">
        <v>1</v>
      </c>
      <c r="H259">
        <v>1935</v>
      </c>
      <c r="I259" t="s">
        <v>181</v>
      </c>
      <c r="J259">
        <v>17</v>
      </c>
      <c r="K259">
        <v>19</v>
      </c>
      <c r="L259">
        <v>4</v>
      </c>
      <c r="M259">
        <v>2</v>
      </c>
    </row>
    <row r="260" spans="1:13" x14ac:dyDescent="0.25">
      <c r="A260">
        <v>259</v>
      </c>
      <c r="B260">
        <v>19</v>
      </c>
      <c r="C260">
        <v>16</v>
      </c>
      <c r="D260" s="2">
        <v>41851.092465277776</v>
      </c>
      <c r="E260" t="s">
        <v>179</v>
      </c>
      <c r="F260">
        <v>90</v>
      </c>
      <c r="G260" s="3">
        <v>2</v>
      </c>
      <c r="H260">
        <v>1911</v>
      </c>
      <c r="I260" t="s">
        <v>181</v>
      </c>
      <c r="J260">
        <v>19</v>
      </c>
      <c r="K260">
        <v>18</v>
      </c>
      <c r="L260">
        <v>2</v>
      </c>
      <c r="M260">
        <v>3</v>
      </c>
    </row>
    <row r="261" spans="1:13" x14ac:dyDescent="0.25">
      <c r="A261">
        <v>260</v>
      </c>
      <c r="B261">
        <v>19</v>
      </c>
      <c r="C261">
        <v>23</v>
      </c>
      <c r="D261" s="2">
        <v>41845.366967592592</v>
      </c>
      <c r="E261" t="s">
        <v>179</v>
      </c>
      <c r="F261">
        <v>0</v>
      </c>
      <c r="G261" s="3">
        <v>3</v>
      </c>
      <c r="H261">
        <v>0</v>
      </c>
      <c r="I261" t="s">
        <v>180</v>
      </c>
      <c r="J261">
        <v>0</v>
      </c>
      <c r="K261">
        <v>0</v>
      </c>
      <c r="L261">
        <v>0</v>
      </c>
      <c r="M261">
        <v>0</v>
      </c>
    </row>
    <row r="262" spans="1:13" x14ac:dyDescent="0.25">
      <c r="A262">
        <v>261</v>
      </c>
      <c r="B262">
        <v>19</v>
      </c>
      <c r="C262">
        <v>19</v>
      </c>
      <c r="D262" s="2">
        <v>41851.059421296297</v>
      </c>
      <c r="E262" t="s">
        <v>179</v>
      </c>
      <c r="F262">
        <v>90</v>
      </c>
      <c r="G262" s="3">
        <v>4</v>
      </c>
      <c r="H262">
        <v>2127</v>
      </c>
      <c r="I262" t="s">
        <v>181</v>
      </c>
      <c r="J262">
        <v>14</v>
      </c>
      <c r="K262">
        <v>13</v>
      </c>
      <c r="L262">
        <v>7</v>
      </c>
      <c r="M262">
        <v>8</v>
      </c>
    </row>
    <row r="263" spans="1:13" x14ac:dyDescent="0.25">
      <c r="A263">
        <v>262</v>
      </c>
      <c r="B263">
        <v>19</v>
      </c>
      <c r="C263">
        <v>13</v>
      </c>
      <c r="D263" s="2">
        <v>41850.986481481479</v>
      </c>
      <c r="E263" t="s">
        <v>179</v>
      </c>
      <c r="F263">
        <v>180</v>
      </c>
      <c r="G263" s="3">
        <v>5</v>
      </c>
      <c r="H263">
        <v>2013</v>
      </c>
      <c r="I263" t="s">
        <v>181</v>
      </c>
      <c r="J263">
        <v>16</v>
      </c>
      <c r="K263">
        <v>17</v>
      </c>
      <c r="L263">
        <v>5</v>
      </c>
      <c r="M263">
        <v>4</v>
      </c>
    </row>
    <row r="264" spans="1:13" x14ac:dyDescent="0.25">
      <c r="A264">
        <v>263</v>
      </c>
      <c r="B264">
        <v>19</v>
      </c>
      <c r="C264">
        <v>4</v>
      </c>
      <c r="D264" s="2">
        <v>41850.914421296293</v>
      </c>
      <c r="E264" t="s">
        <v>179</v>
      </c>
      <c r="F264">
        <v>60</v>
      </c>
      <c r="G264" s="3">
        <v>6</v>
      </c>
      <c r="H264">
        <v>1900</v>
      </c>
      <c r="I264" t="s">
        <v>181</v>
      </c>
      <c r="J264">
        <v>20</v>
      </c>
      <c r="K264">
        <v>16</v>
      </c>
      <c r="L264">
        <v>1</v>
      </c>
      <c r="M264">
        <v>5</v>
      </c>
    </row>
    <row r="265" spans="1:13" x14ac:dyDescent="0.25">
      <c r="A265">
        <v>264</v>
      </c>
      <c r="B265">
        <v>19</v>
      </c>
      <c r="C265">
        <v>31</v>
      </c>
      <c r="D265" s="2">
        <v>41844.799305555556</v>
      </c>
      <c r="E265" t="s">
        <v>179</v>
      </c>
      <c r="F265">
        <v>270</v>
      </c>
      <c r="G265" s="3">
        <v>7</v>
      </c>
      <c r="H265">
        <v>2144</v>
      </c>
      <c r="I265" t="s">
        <v>181</v>
      </c>
      <c r="J265">
        <v>13</v>
      </c>
      <c r="K265">
        <v>15</v>
      </c>
      <c r="L265">
        <v>8</v>
      </c>
      <c r="M265">
        <v>6</v>
      </c>
    </row>
    <row r="266" spans="1:13" x14ac:dyDescent="0.25">
      <c r="A266">
        <v>265</v>
      </c>
      <c r="B266">
        <v>19</v>
      </c>
      <c r="C266">
        <v>10</v>
      </c>
      <c r="D266" s="2">
        <v>41851.727060185185</v>
      </c>
      <c r="E266" t="s">
        <v>179</v>
      </c>
      <c r="F266">
        <v>120</v>
      </c>
      <c r="G266" s="3">
        <v>8</v>
      </c>
      <c r="H266">
        <v>2030</v>
      </c>
      <c r="I266" t="s">
        <v>181</v>
      </c>
      <c r="J266">
        <v>15</v>
      </c>
      <c r="K266">
        <v>14</v>
      </c>
      <c r="L266">
        <v>6</v>
      </c>
      <c r="M266">
        <v>7</v>
      </c>
    </row>
    <row r="267" spans="1:13" x14ac:dyDescent="0.25">
      <c r="A267">
        <v>266</v>
      </c>
      <c r="B267">
        <v>19</v>
      </c>
      <c r="C267">
        <v>30</v>
      </c>
      <c r="D267" s="2">
        <v>41851.654305555552</v>
      </c>
      <c r="E267" t="s">
        <v>179</v>
      </c>
      <c r="F267">
        <v>300</v>
      </c>
      <c r="G267" s="3">
        <v>9</v>
      </c>
      <c r="H267">
        <v>1917</v>
      </c>
      <c r="I267" t="s">
        <v>181</v>
      </c>
      <c r="J267">
        <v>18</v>
      </c>
      <c r="K267">
        <v>20</v>
      </c>
      <c r="L267">
        <v>3</v>
      </c>
      <c r="M267">
        <v>1</v>
      </c>
    </row>
    <row r="268" spans="1:13" x14ac:dyDescent="0.25">
      <c r="A268">
        <v>267</v>
      </c>
      <c r="B268">
        <v>19</v>
      </c>
      <c r="C268">
        <v>18</v>
      </c>
      <c r="D268" s="2">
        <v>41844.581550925926</v>
      </c>
      <c r="E268" t="s">
        <v>179</v>
      </c>
      <c r="F268">
        <v>150</v>
      </c>
      <c r="G268" s="3">
        <v>10</v>
      </c>
      <c r="H268">
        <v>0</v>
      </c>
      <c r="I268" t="s">
        <v>182</v>
      </c>
      <c r="J268">
        <v>0</v>
      </c>
      <c r="K268">
        <v>0</v>
      </c>
      <c r="L268">
        <v>0</v>
      </c>
      <c r="M268">
        <v>0</v>
      </c>
    </row>
    <row r="269" spans="1:13" x14ac:dyDescent="0.25">
      <c r="A269">
        <v>268</v>
      </c>
      <c r="B269">
        <v>20</v>
      </c>
      <c r="C269">
        <v>18</v>
      </c>
      <c r="D269" s="2">
        <v>41857.07607638889</v>
      </c>
      <c r="E269" t="s">
        <v>179</v>
      </c>
      <c r="F269">
        <v>0</v>
      </c>
      <c r="G269" s="3">
        <v>1</v>
      </c>
      <c r="H269">
        <v>1433</v>
      </c>
      <c r="I269" t="s">
        <v>181</v>
      </c>
      <c r="J269">
        <v>20</v>
      </c>
      <c r="K269">
        <v>15</v>
      </c>
      <c r="L269">
        <v>1</v>
      </c>
      <c r="M269">
        <v>6</v>
      </c>
    </row>
    <row r="270" spans="1:13" x14ac:dyDescent="0.25">
      <c r="A270">
        <v>269</v>
      </c>
      <c r="B270">
        <v>20</v>
      </c>
      <c r="C270">
        <v>15</v>
      </c>
      <c r="D270" s="2">
        <v>41856.031122685185</v>
      </c>
      <c r="E270" t="s">
        <v>179</v>
      </c>
      <c r="F270">
        <v>90</v>
      </c>
      <c r="G270" s="3">
        <v>2</v>
      </c>
      <c r="H270">
        <v>1624</v>
      </c>
      <c r="I270" t="s">
        <v>181</v>
      </c>
      <c r="J270">
        <v>14</v>
      </c>
      <c r="K270">
        <v>14</v>
      </c>
      <c r="L270">
        <v>7</v>
      </c>
      <c r="M270">
        <v>7</v>
      </c>
    </row>
    <row r="271" spans="1:13" x14ac:dyDescent="0.25">
      <c r="A271">
        <v>270</v>
      </c>
      <c r="B271">
        <v>20</v>
      </c>
      <c r="C271">
        <v>28</v>
      </c>
      <c r="D271" s="2">
        <v>41853.235462962963</v>
      </c>
      <c r="E271" t="s">
        <v>179</v>
      </c>
      <c r="F271">
        <v>150</v>
      </c>
      <c r="G271" s="3">
        <v>3</v>
      </c>
      <c r="H271">
        <v>0</v>
      </c>
      <c r="I271" t="s">
        <v>180</v>
      </c>
      <c r="J271">
        <v>0</v>
      </c>
      <c r="K271">
        <v>0</v>
      </c>
      <c r="L271">
        <v>0</v>
      </c>
      <c r="M271">
        <v>0</v>
      </c>
    </row>
    <row r="272" spans="1:13" x14ac:dyDescent="0.25">
      <c r="A272">
        <v>271</v>
      </c>
      <c r="B272">
        <v>20</v>
      </c>
      <c r="C272">
        <v>9</v>
      </c>
      <c r="D272" s="2">
        <v>41853.577881944446</v>
      </c>
      <c r="E272" t="s">
        <v>179</v>
      </c>
      <c r="F272">
        <v>150</v>
      </c>
      <c r="G272" s="3">
        <v>4</v>
      </c>
      <c r="H272">
        <v>0</v>
      </c>
      <c r="I272" t="s">
        <v>180</v>
      </c>
      <c r="J272">
        <v>0</v>
      </c>
      <c r="K272">
        <v>0</v>
      </c>
      <c r="L272">
        <v>0</v>
      </c>
      <c r="M272">
        <v>0</v>
      </c>
    </row>
    <row r="273" spans="1:13" x14ac:dyDescent="0.25">
      <c r="A273">
        <v>272</v>
      </c>
      <c r="B273">
        <v>20</v>
      </c>
      <c r="C273">
        <v>17</v>
      </c>
      <c r="D273" s="2">
        <v>41855.994745370372</v>
      </c>
      <c r="E273" t="s">
        <v>179</v>
      </c>
      <c r="F273">
        <v>120</v>
      </c>
      <c r="G273" s="3">
        <v>5</v>
      </c>
      <c r="H273">
        <v>1552</v>
      </c>
      <c r="I273" t="s">
        <v>181</v>
      </c>
      <c r="J273">
        <v>15</v>
      </c>
      <c r="K273">
        <v>16</v>
      </c>
      <c r="L273">
        <v>6</v>
      </c>
      <c r="M273">
        <v>5</v>
      </c>
    </row>
    <row r="274" spans="1:13" x14ac:dyDescent="0.25">
      <c r="A274">
        <v>273</v>
      </c>
      <c r="B274">
        <v>20</v>
      </c>
      <c r="C274">
        <v>12</v>
      </c>
      <c r="D274" s="2">
        <v>41856.548136574071</v>
      </c>
      <c r="E274" t="s">
        <v>179</v>
      </c>
      <c r="F274">
        <v>90</v>
      </c>
      <c r="G274" s="3">
        <v>6</v>
      </c>
      <c r="H274">
        <v>0</v>
      </c>
      <c r="I274" t="s">
        <v>180</v>
      </c>
      <c r="J274">
        <v>0</v>
      </c>
      <c r="K274">
        <v>0</v>
      </c>
      <c r="L274">
        <v>0</v>
      </c>
      <c r="M274">
        <v>0</v>
      </c>
    </row>
    <row r="275" spans="1:13" x14ac:dyDescent="0.25">
      <c r="A275">
        <v>274</v>
      </c>
      <c r="B275">
        <v>20</v>
      </c>
      <c r="C275">
        <v>29</v>
      </c>
      <c r="D275" s="2">
        <v>41854.873680555553</v>
      </c>
      <c r="E275" t="s">
        <v>179</v>
      </c>
      <c r="F275">
        <v>180</v>
      </c>
      <c r="G275" s="3">
        <v>7</v>
      </c>
      <c r="H275">
        <v>1478</v>
      </c>
      <c r="I275" t="s">
        <v>181</v>
      </c>
      <c r="J275">
        <v>17</v>
      </c>
      <c r="K275">
        <v>18</v>
      </c>
      <c r="L275">
        <v>4</v>
      </c>
      <c r="M275">
        <v>3</v>
      </c>
    </row>
    <row r="276" spans="1:13" x14ac:dyDescent="0.25">
      <c r="A276">
        <v>275</v>
      </c>
      <c r="B276">
        <v>20</v>
      </c>
      <c r="C276">
        <v>24</v>
      </c>
      <c r="D276" s="2">
        <v>41853.342141203706</v>
      </c>
      <c r="E276" t="s">
        <v>179</v>
      </c>
      <c r="F276">
        <v>300</v>
      </c>
      <c r="G276" s="3">
        <v>8</v>
      </c>
      <c r="H276">
        <v>1465</v>
      </c>
      <c r="I276" t="s">
        <v>181</v>
      </c>
      <c r="J276">
        <v>19</v>
      </c>
      <c r="K276">
        <v>20</v>
      </c>
      <c r="L276">
        <v>2</v>
      </c>
      <c r="M276">
        <v>1</v>
      </c>
    </row>
    <row r="277" spans="1:13" x14ac:dyDescent="0.25">
      <c r="A277">
        <v>276</v>
      </c>
      <c r="B277">
        <v>20</v>
      </c>
      <c r="C277">
        <v>23</v>
      </c>
      <c r="D277" s="2">
        <v>41852.590451388889</v>
      </c>
      <c r="E277" t="s">
        <v>179</v>
      </c>
      <c r="F277">
        <v>150</v>
      </c>
      <c r="G277" s="3">
        <v>9</v>
      </c>
      <c r="H277">
        <v>1509</v>
      </c>
      <c r="I277" t="s">
        <v>181</v>
      </c>
      <c r="J277">
        <v>16</v>
      </c>
      <c r="K277">
        <v>17</v>
      </c>
      <c r="L277">
        <v>5</v>
      </c>
      <c r="M277">
        <v>4</v>
      </c>
    </row>
    <row r="278" spans="1:13" x14ac:dyDescent="0.25">
      <c r="A278">
        <v>277</v>
      </c>
      <c r="B278">
        <v>20</v>
      </c>
      <c r="C278">
        <v>1</v>
      </c>
      <c r="D278" s="2">
        <v>41858.892060185186</v>
      </c>
      <c r="E278" t="s">
        <v>179</v>
      </c>
      <c r="F278">
        <v>270</v>
      </c>
      <c r="G278" s="3">
        <v>10</v>
      </c>
      <c r="H278">
        <v>0</v>
      </c>
      <c r="I278" t="s">
        <v>180</v>
      </c>
      <c r="J278">
        <v>0</v>
      </c>
      <c r="K278">
        <v>0</v>
      </c>
      <c r="L278">
        <v>0</v>
      </c>
      <c r="M278">
        <v>0</v>
      </c>
    </row>
    <row r="279" spans="1:13" x14ac:dyDescent="0.25">
      <c r="A279">
        <v>278</v>
      </c>
      <c r="B279">
        <v>20</v>
      </c>
      <c r="C279">
        <v>2</v>
      </c>
      <c r="D279" s="2">
        <v>41856.32439814815</v>
      </c>
      <c r="E279" t="s">
        <v>179</v>
      </c>
      <c r="F279">
        <v>180</v>
      </c>
      <c r="G279" s="3">
        <v>11</v>
      </c>
      <c r="H279">
        <v>1477</v>
      </c>
      <c r="I279" t="s">
        <v>181</v>
      </c>
      <c r="J279">
        <v>18</v>
      </c>
      <c r="K279">
        <v>19</v>
      </c>
      <c r="L279">
        <v>3</v>
      </c>
      <c r="M279">
        <v>2</v>
      </c>
    </row>
    <row r="280" spans="1:13" x14ac:dyDescent="0.25">
      <c r="A280">
        <v>279</v>
      </c>
      <c r="B280">
        <v>20</v>
      </c>
      <c r="C280">
        <v>16</v>
      </c>
      <c r="D280" s="2">
        <v>41855.279432870368</v>
      </c>
      <c r="E280" t="s">
        <v>179</v>
      </c>
      <c r="F280">
        <v>150</v>
      </c>
      <c r="G280" s="3">
        <v>12</v>
      </c>
      <c r="H280">
        <v>0</v>
      </c>
      <c r="I280" t="s">
        <v>182</v>
      </c>
      <c r="J280">
        <v>0</v>
      </c>
      <c r="K280">
        <v>0</v>
      </c>
      <c r="L280">
        <v>0</v>
      </c>
      <c r="M280">
        <v>0</v>
      </c>
    </row>
    <row r="281" spans="1:13" x14ac:dyDescent="0.25">
      <c r="A281">
        <v>280</v>
      </c>
      <c r="B281">
        <v>21</v>
      </c>
      <c r="C281">
        <v>20</v>
      </c>
      <c r="D281" s="2">
        <v>41864.434849537036</v>
      </c>
      <c r="E281" t="s">
        <v>179</v>
      </c>
      <c r="F281">
        <v>30</v>
      </c>
      <c r="G281" s="3">
        <v>1</v>
      </c>
      <c r="H281">
        <v>1738</v>
      </c>
      <c r="I281" t="s">
        <v>181</v>
      </c>
      <c r="J281">
        <v>19</v>
      </c>
      <c r="K281">
        <v>12</v>
      </c>
      <c r="L281">
        <v>2</v>
      </c>
      <c r="M281">
        <v>9</v>
      </c>
    </row>
    <row r="282" spans="1:13" x14ac:dyDescent="0.25">
      <c r="A282">
        <v>281</v>
      </c>
      <c r="B282">
        <v>21</v>
      </c>
      <c r="C282">
        <v>25</v>
      </c>
      <c r="D282" s="2">
        <v>41863.068124999998</v>
      </c>
      <c r="E282" t="s">
        <v>179</v>
      </c>
      <c r="F282">
        <v>120</v>
      </c>
      <c r="G282" s="3">
        <v>2</v>
      </c>
      <c r="H282">
        <v>1810</v>
      </c>
      <c r="I282" t="s">
        <v>181</v>
      </c>
      <c r="J282">
        <v>14</v>
      </c>
      <c r="K282">
        <v>14</v>
      </c>
      <c r="L282">
        <v>7</v>
      </c>
      <c r="M282">
        <v>7</v>
      </c>
    </row>
    <row r="283" spans="1:13" x14ac:dyDescent="0.25">
      <c r="A283">
        <v>282</v>
      </c>
      <c r="B283">
        <v>21</v>
      </c>
      <c r="C283">
        <v>17</v>
      </c>
      <c r="D283" s="2">
        <v>41860.649317129632</v>
      </c>
      <c r="E283" t="s">
        <v>179</v>
      </c>
      <c r="F283">
        <v>240</v>
      </c>
      <c r="G283" s="3">
        <v>3</v>
      </c>
      <c r="H283">
        <v>1951</v>
      </c>
      <c r="I283" t="s">
        <v>181</v>
      </c>
      <c r="J283">
        <v>5</v>
      </c>
      <c r="K283">
        <v>11</v>
      </c>
      <c r="L283">
        <v>16</v>
      </c>
      <c r="M283">
        <v>10</v>
      </c>
    </row>
    <row r="284" spans="1:13" x14ac:dyDescent="0.25">
      <c r="A284">
        <v>283</v>
      </c>
      <c r="B284">
        <v>21</v>
      </c>
      <c r="C284">
        <v>21</v>
      </c>
      <c r="D284" s="2">
        <v>41859.522175925929</v>
      </c>
      <c r="E284" t="s">
        <v>179</v>
      </c>
      <c r="F284">
        <v>300</v>
      </c>
      <c r="G284" s="3">
        <v>4</v>
      </c>
      <c r="H284">
        <v>0</v>
      </c>
      <c r="I284" t="s">
        <v>182</v>
      </c>
      <c r="J284">
        <v>0</v>
      </c>
      <c r="K284">
        <v>0</v>
      </c>
      <c r="L284">
        <v>0</v>
      </c>
      <c r="M284">
        <v>0</v>
      </c>
    </row>
    <row r="285" spans="1:13" x14ac:dyDescent="0.25">
      <c r="A285">
        <v>284</v>
      </c>
      <c r="B285">
        <v>21</v>
      </c>
      <c r="C285">
        <v>10</v>
      </c>
      <c r="D285" s="2">
        <v>41859.796331018515</v>
      </c>
      <c r="E285" t="s">
        <v>179</v>
      </c>
      <c r="F285">
        <v>270</v>
      </c>
      <c r="G285" s="3">
        <v>5</v>
      </c>
      <c r="H285">
        <v>1750</v>
      </c>
      <c r="I285" t="s">
        <v>181</v>
      </c>
      <c r="J285">
        <v>18</v>
      </c>
      <c r="K285">
        <v>20</v>
      </c>
      <c r="L285">
        <v>3</v>
      </c>
      <c r="M285">
        <v>1</v>
      </c>
    </row>
    <row r="286" spans="1:13" x14ac:dyDescent="0.25">
      <c r="A286">
        <v>285</v>
      </c>
      <c r="B286">
        <v>21</v>
      </c>
      <c r="C286">
        <v>22</v>
      </c>
      <c r="D286" s="2">
        <v>41864.696296296293</v>
      </c>
      <c r="E286" t="s">
        <v>179</v>
      </c>
      <c r="F286">
        <v>240</v>
      </c>
      <c r="G286" s="3">
        <v>6</v>
      </c>
      <c r="H286">
        <v>1829</v>
      </c>
      <c r="I286" t="s">
        <v>181</v>
      </c>
      <c r="J286">
        <v>13</v>
      </c>
      <c r="K286">
        <v>18</v>
      </c>
      <c r="L286">
        <v>8</v>
      </c>
      <c r="M286">
        <v>3</v>
      </c>
    </row>
    <row r="287" spans="1:13" x14ac:dyDescent="0.25">
      <c r="A287">
        <v>286</v>
      </c>
      <c r="B287">
        <v>21</v>
      </c>
      <c r="C287">
        <v>6</v>
      </c>
      <c r="D287" s="2">
        <v>41858.554583333331</v>
      </c>
      <c r="E287" t="s">
        <v>179</v>
      </c>
      <c r="F287">
        <v>180</v>
      </c>
      <c r="G287" s="3">
        <v>7</v>
      </c>
      <c r="H287">
        <v>1719</v>
      </c>
      <c r="I287" t="s">
        <v>181</v>
      </c>
      <c r="J287">
        <v>20</v>
      </c>
      <c r="K287">
        <v>19</v>
      </c>
      <c r="L287">
        <v>1</v>
      </c>
      <c r="M287">
        <v>2</v>
      </c>
    </row>
    <row r="288" spans="1:13" x14ac:dyDescent="0.25">
      <c r="A288">
        <v>287</v>
      </c>
      <c r="B288">
        <v>21</v>
      </c>
      <c r="C288">
        <v>8</v>
      </c>
      <c r="D288" s="2">
        <v>41862.204027777778</v>
      </c>
      <c r="E288" t="s">
        <v>179</v>
      </c>
      <c r="F288">
        <v>150</v>
      </c>
      <c r="G288" s="3">
        <v>8</v>
      </c>
      <c r="H288">
        <v>1867</v>
      </c>
      <c r="I288" t="s">
        <v>181</v>
      </c>
      <c r="J288">
        <v>12</v>
      </c>
      <c r="K288">
        <v>10</v>
      </c>
      <c r="L288">
        <v>9</v>
      </c>
      <c r="M288">
        <v>11</v>
      </c>
    </row>
    <row r="289" spans="1:13" x14ac:dyDescent="0.25">
      <c r="A289">
        <v>288</v>
      </c>
      <c r="B289">
        <v>21</v>
      </c>
      <c r="C289">
        <v>23</v>
      </c>
      <c r="D289" s="2">
        <v>41865.115104166667</v>
      </c>
      <c r="E289" t="s">
        <v>179</v>
      </c>
      <c r="F289">
        <v>150</v>
      </c>
      <c r="G289" s="3">
        <v>9</v>
      </c>
      <c r="H289">
        <v>1757</v>
      </c>
      <c r="I289" t="s">
        <v>181</v>
      </c>
      <c r="J289">
        <v>17</v>
      </c>
      <c r="K289">
        <v>17</v>
      </c>
      <c r="L289">
        <v>4</v>
      </c>
      <c r="M289">
        <v>4</v>
      </c>
    </row>
    <row r="290" spans="1:13" x14ac:dyDescent="0.25">
      <c r="A290">
        <v>289</v>
      </c>
      <c r="B290">
        <v>21</v>
      </c>
      <c r="C290">
        <v>31</v>
      </c>
      <c r="D290" s="2">
        <v>41861.723391203705</v>
      </c>
      <c r="E290" t="s">
        <v>179</v>
      </c>
      <c r="F290">
        <v>120</v>
      </c>
      <c r="G290" s="3">
        <v>10</v>
      </c>
      <c r="H290">
        <v>1904</v>
      </c>
      <c r="I290" t="s">
        <v>181</v>
      </c>
      <c r="J290">
        <v>10</v>
      </c>
      <c r="K290">
        <v>7</v>
      </c>
      <c r="L290">
        <v>11</v>
      </c>
      <c r="M290">
        <v>14</v>
      </c>
    </row>
    <row r="291" spans="1:13" x14ac:dyDescent="0.25">
      <c r="A291">
        <v>290</v>
      </c>
      <c r="B291">
        <v>21</v>
      </c>
      <c r="C291">
        <v>11</v>
      </c>
      <c r="D291" s="2">
        <v>41863.623541666668</v>
      </c>
      <c r="E291" t="s">
        <v>179</v>
      </c>
      <c r="F291">
        <v>90</v>
      </c>
      <c r="G291" s="3">
        <v>11</v>
      </c>
      <c r="H291">
        <v>1794</v>
      </c>
      <c r="I291" t="s">
        <v>181</v>
      </c>
      <c r="J291">
        <v>15</v>
      </c>
      <c r="K291">
        <v>13</v>
      </c>
      <c r="L291">
        <v>6</v>
      </c>
      <c r="M291">
        <v>8</v>
      </c>
    </row>
    <row r="292" spans="1:13" x14ac:dyDescent="0.25">
      <c r="A292">
        <v>291</v>
      </c>
      <c r="B292">
        <v>21</v>
      </c>
      <c r="C292">
        <v>16</v>
      </c>
      <c r="D292" s="2">
        <v>41860.481828703705</v>
      </c>
      <c r="E292" t="s">
        <v>179</v>
      </c>
      <c r="F292">
        <v>60</v>
      </c>
      <c r="G292" s="3">
        <v>12</v>
      </c>
      <c r="H292">
        <v>1873</v>
      </c>
      <c r="I292" t="s">
        <v>181</v>
      </c>
      <c r="J292">
        <v>11</v>
      </c>
      <c r="K292">
        <v>6</v>
      </c>
      <c r="L292">
        <v>10</v>
      </c>
      <c r="M292">
        <v>15</v>
      </c>
    </row>
    <row r="293" spans="1:13" x14ac:dyDescent="0.25">
      <c r="A293">
        <v>292</v>
      </c>
      <c r="B293">
        <v>21</v>
      </c>
      <c r="C293">
        <v>29</v>
      </c>
      <c r="D293" s="2">
        <v>41862.101226851853</v>
      </c>
      <c r="E293" t="s">
        <v>179</v>
      </c>
      <c r="F293">
        <v>30</v>
      </c>
      <c r="G293" s="3">
        <v>13</v>
      </c>
      <c r="H293">
        <v>1763</v>
      </c>
      <c r="I293" t="s">
        <v>181</v>
      </c>
      <c r="J293">
        <v>16</v>
      </c>
      <c r="K293">
        <v>9</v>
      </c>
      <c r="L293">
        <v>5</v>
      </c>
      <c r="M293">
        <v>12</v>
      </c>
    </row>
    <row r="294" spans="1:13" x14ac:dyDescent="0.25">
      <c r="A294">
        <v>293</v>
      </c>
      <c r="B294">
        <v>21</v>
      </c>
      <c r="C294">
        <v>7</v>
      </c>
      <c r="D294" s="2">
        <v>41864.001377314817</v>
      </c>
      <c r="E294" t="s">
        <v>179</v>
      </c>
      <c r="F294">
        <v>0</v>
      </c>
      <c r="G294" s="3">
        <v>14</v>
      </c>
      <c r="H294">
        <v>0</v>
      </c>
      <c r="I294" t="s">
        <v>182</v>
      </c>
      <c r="J294">
        <v>0</v>
      </c>
      <c r="K294">
        <v>0</v>
      </c>
      <c r="L294">
        <v>0</v>
      </c>
      <c r="M294">
        <v>0</v>
      </c>
    </row>
    <row r="295" spans="1:13" x14ac:dyDescent="0.25">
      <c r="A295">
        <v>294</v>
      </c>
      <c r="B295">
        <v>21</v>
      </c>
      <c r="C295">
        <v>4</v>
      </c>
      <c r="D295" s="2">
        <v>41864.40111111111</v>
      </c>
      <c r="E295" t="s">
        <v>179</v>
      </c>
      <c r="F295">
        <v>300</v>
      </c>
      <c r="G295" s="3">
        <v>15</v>
      </c>
      <c r="H295">
        <v>1934</v>
      </c>
      <c r="I295" t="s">
        <v>181</v>
      </c>
      <c r="J295">
        <v>6</v>
      </c>
      <c r="K295">
        <v>16</v>
      </c>
      <c r="L295">
        <v>15</v>
      </c>
      <c r="M295">
        <v>5</v>
      </c>
    </row>
    <row r="296" spans="1:13" x14ac:dyDescent="0.25">
      <c r="A296">
        <v>295</v>
      </c>
      <c r="B296">
        <v>21</v>
      </c>
      <c r="C296">
        <v>28</v>
      </c>
      <c r="D296" s="2">
        <v>41860.646666666667</v>
      </c>
      <c r="E296" t="s">
        <v>179</v>
      </c>
      <c r="F296">
        <v>270</v>
      </c>
      <c r="G296" s="3">
        <v>16</v>
      </c>
      <c r="H296">
        <v>1925</v>
      </c>
      <c r="I296" t="s">
        <v>181</v>
      </c>
      <c r="J296">
        <v>7</v>
      </c>
      <c r="K296">
        <v>15</v>
      </c>
      <c r="L296">
        <v>14</v>
      </c>
      <c r="M296">
        <v>6</v>
      </c>
    </row>
    <row r="297" spans="1:13" x14ac:dyDescent="0.25">
      <c r="A297">
        <v>296</v>
      </c>
      <c r="B297">
        <v>21</v>
      </c>
      <c r="C297">
        <v>1</v>
      </c>
      <c r="D297" s="2">
        <v>41865.225555555553</v>
      </c>
      <c r="E297" t="s">
        <v>179</v>
      </c>
      <c r="F297">
        <v>0</v>
      </c>
      <c r="G297" s="3">
        <v>17</v>
      </c>
      <c r="H297">
        <v>1916</v>
      </c>
      <c r="I297" t="s">
        <v>181</v>
      </c>
      <c r="J297">
        <v>9</v>
      </c>
      <c r="K297">
        <v>5</v>
      </c>
      <c r="L297">
        <v>12</v>
      </c>
      <c r="M297">
        <v>16</v>
      </c>
    </row>
    <row r="298" spans="1:13" x14ac:dyDescent="0.25">
      <c r="A298">
        <v>297</v>
      </c>
      <c r="B298">
        <v>21</v>
      </c>
      <c r="C298">
        <v>2</v>
      </c>
      <c r="D298" s="2">
        <v>41858.023055555554</v>
      </c>
      <c r="E298" t="s">
        <v>179</v>
      </c>
      <c r="F298">
        <v>150</v>
      </c>
      <c r="G298" s="3">
        <v>18</v>
      </c>
      <c r="H298">
        <v>1924</v>
      </c>
      <c r="I298" t="s">
        <v>181</v>
      </c>
      <c r="J298">
        <v>8</v>
      </c>
      <c r="K298">
        <v>8</v>
      </c>
      <c r="L298">
        <v>13</v>
      </c>
      <c r="M298">
        <v>13</v>
      </c>
    </row>
    <row r="299" spans="1:13" x14ac:dyDescent="0.25">
      <c r="A299">
        <v>298</v>
      </c>
      <c r="B299">
        <v>22</v>
      </c>
      <c r="C299">
        <v>24</v>
      </c>
      <c r="D299" s="2">
        <v>41870.5153125</v>
      </c>
      <c r="E299" t="s">
        <v>179</v>
      </c>
      <c r="F299">
        <v>240</v>
      </c>
      <c r="G299" s="3">
        <v>1</v>
      </c>
      <c r="H299">
        <v>1417</v>
      </c>
      <c r="I299" t="s">
        <v>181</v>
      </c>
      <c r="J299">
        <v>12</v>
      </c>
      <c r="K299">
        <v>14</v>
      </c>
      <c r="L299">
        <v>9</v>
      </c>
      <c r="M299">
        <v>7</v>
      </c>
    </row>
    <row r="300" spans="1:13" x14ac:dyDescent="0.25">
      <c r="A300">
        <v>299</v>
      </c>
      <c r="B300">
        <v>22</v>
      </c>
      <c r="C300">
        <v>21</v>
      </c>
      <c r="D300" s="2">
        <v>41883.083090277774</v>
      </c>
      <c r="E300" t="s">
        <v>179</v>
      </c>
      <c r="F300">
        <v>300</v>
      </c>
      <c r="G300" s="3">
        <v>2</v>
      </c>
      <c r="H300">
        <v>1462</v>
      </c>
      <c r="I300" t="s">
        <v>181</v>
      </c>
      <c r="J300">
        <v>7</v>
      </c>
      <c r="K300">
        <v>17</v>
      </c>
      <c r="L300">
        <v>14</v>
      </c>
      <c r="M300">
        <v>4</v>
      </c>
    </row>
    <row r="301" spans="1:13" x14ac:dyDescent="0.25">
      <c r="A301">
        <v>300</v>
      </c>
      <c r="B301">
        <v>22</v>
      </c>
      <c r="C301">
        <v>30</v>
      </c>
      <c r="D301" s="2">
        <v>41867.369618055556</v>
      </c>
      <c r="E301" t="s">
        <v>179</v>
      </c>
      <c r="F301">
        <v>270</v>
      </c>
      <c r="G301" s="3">
        <v>3</v>
      </c>
      <c r="H301">
        <v>0</v>
      </c>
      <c r="I301" t="s">
        <v>180</v>
      </c>
      <c r="J301">
        <v>0</v>
      </c>
      <c r="K301">
        <v>0</v>
      </c>
      <c r="L301">
        <v>0</v>
      </c>
      <c r="M301">
        <v>0</v>
      </c>
    </row>
    <row r="302" spans="1:13" x14ac:dyDescent="0.25">
      <c r="A302">
        <v>301</v>
      </c>
      <c r="B302">
        <v>22</v>
      </c>
      <c r="C302">
        <v>22</v>
      </c>
      <c r="D302" s="2">
        <v>41881.153391203705</v>
      </c>
      <c r="E302" t="s">
        <v>179</v>
      </c>
      <c r="F302">
        <v>240</v>
      </c>
      <c r="G302" s="3">
        <v>4</v>
      </c>
      <c r="H302">
        <v>1469</v>
      </c>
      <c r="I302" t="s">
        <v>181</v>
      </c>
      <c r="J302">
        <v>6</v>
      </c>
      <c r="K302">
        <v>12</v>
      </c>
      <c r="L302">
        <v>15</v>
      </c>
      <c r="M302">
        <v>9</v>
      </c>
    </row>
    <row r="303" spans="1:13" x14ac:dyDescent="0.25">
      <c r="A303">
        <v>302</v>
      </c>
      <c r="B303">
        <v>22</v>
      </c>
      <c r="C303">
        <v>7</v>
      </c>
      <c r="D303" s="2">
        <v>41880.874236111114</v>
      </c>
      <c r="E303" t="s">
        <v>179</v>
      </c>
      <c r="F303">
        <v>30</v>
      </c>
      <c r="G303" s="3">
        <v>5</v>
      </c>
      <c r="H303">
        <v>1453</v>
      </c>
      <c r="I303" t="s">
        <v>181</v>
      </c>
      <c r="J303">
        <v>8</v>
      </c>
      <c r="K303">
        <v>5</v>
      </c>
      <c r="L303">
        <v>13</v>
      </c>
      <c r="M303">
        <v>16</v>
      </c>
    </row>
    <row r="304" spans="1:13" x14ac:dyDescent="0.25">
      <c r="A304">
        <v>303</v>
      </c>
      <c r="B304">
        <v>22</v>
      </c>
      <c r="C304">
        <v>2</v>
      </c>
      <c r="D304" s="2">
        <v>41886.106562499997</v>
      </c>
      <c r="E304" t="s">
        <v>179</v>
      </c>
      <c r="F304">
        <v>0</v>
      </c>
      <c r="G304" s="3">
        <v>6</v>
      </c>
      <c r="H304">
        <v>0</v>
      </c>
      <c r="I304" t="s">
        <v>182</v>
      </c>
      <c r="J304">
        <v>0</v>
      </c>
      <c r="K304">
        <v>0</v>
      </c>
      <c r="L304">
        <v>0</v>
      </c>
      <c r="M304">
        <v>0</v>
      </c>
    </row>
    <row r="305" spans="1:13" x14ac:dyDescent="0.25">
      <c r="A305">
        <v>304</v>
      </c>
      <c r="B305">
        <v>22</v>
      </c>
      <c r="C305">
        <v>6</v>
      </c>
      <c r="D305" s="2">
        <v>41884.179942129631</v>
      </c>
      <c r="E305" t="s">
        <v>179</v>
      </c>
      <c r="F305">
        <v>240</v>
      </c>
      <c r="G305" s="3">
        <v>7</v>
      </c>
      <c r="H305">
        <v>0</v>
      </c>
      <c r="I305" t="s">
        <v>182</v>
      </c>
      <c r="J305">
        <v>0</v>
      </c>
      <c r="K305">
        <v>0</v>
      </c>
      <c r="L305">
        <v>0</v>
      </c>
      <c r="M305">
        <v>0</v>
      </c>
    </row>
    <row r="306" spans="1:13" x14ac:dyDescent="0.25">
      <c r="A306">
        <v>305</v>
      </c>
      <c r="B306">
        <v>22</v>
      </c>
      <c r="C306">
        <v>13</v>
      </c>
      <c r="D306" s="2">
        <v>41879.726076388892</v>
      </c>
      <c r="E306" t="s">
        <v>179</v>
      </c>
      <c r="F306">
        <v>180</v>
      </c>
      <c r="G306" s="3">
        <v>8</v>
      </c>
      <c r="H306">
        <v>1381</v>
      </c>
      <c r="I306" t="s">
        <v>181</v>
      </c>
      <c r="J306">
        <v>14</v>
      </c>
      <c r="K306">
        <v>13</v>
      </c>
      <c r="L306">
        <v>7</v>
      </c>
      <c r="M306">
        <v>8</v>
      </c>
    </row>
    <row r="307" spans="1:13" x14ac:dyDescent="0.25">
      <c r="A307">
        <v>306</v>
      </c>
      <c r="B307">
        <v>22</v>
      </c>
      <c r="C307">
        <v>18</v>
      </c>
      <c r="D307" s="2">
        <v>41884.653136574074</v>
      </c>
      <c r="E307" t="s">
        <v>179</v>
      </c>
      <c r="F307">
        <v>0</v>
      </c>
      <c r="G307" s="3">
        <v>9</v>
      </c>
      <c r="H307">
        <v>1303</v>
      </c>
      <c r="I307" t="s">
        <v>181</v>
      </c>
      <c r="J307">
        <v>19</v>
      </c>
      <c r="K307">
        <v>7</v>
      </c>
      <c r="L307">
        <v>2</v>
      </c>
      <c r="M307">
        <v>14</v>
      </c>
    </row>
    <row r="308" spans="1:13" x14ac:dyDescent="0.25">
      <c r="A308">
        <v>307</v>
      </c>
      <c r="B308">
        <v>22</v>
      </c>
      <c r="C308">
        <v>23</v>
      </c>
      <c r="D308" s="2">
        <v>41883.581076388888</v>
      </c>
      <c r="E308" t="s">
        <v>179</v>
      </c>
      <c r="F308">
        <v>150</v>
      </c>
      <c r="G308" s="3">
        <v>10</v>
      </c>
      <c r="H308">
        <v>1419</v>
      </c>
      <c r="I308" t="s">
        <v>181</v>
      </c>
      <c r="J308">
        <v>10</v>
      </c>
      <c r="K308">
        <v>8</v>
      </c>
      <c r="L308">
        <v>11</v>
      </c>
      <c r="M308">
        <v>13</v>
      </c>
    </row>
    <row r="309" spans="1:13" x14ac:dyDescent="0.25">
      <c r="A309">
        <v>308</v>
      </c>
      <c r="B309">
        <v>22</v>
      </c>
      <c r="C309">
        <v>12</v>
      </c>
      <c r="D309" s="2">
        <v>41881.477766203701</v>
      </c>
      <c r="E309" t="s">
        <v>179</v>
      </c>
      <c r="F309">
        <v>30</v>
      </c>
      <c r="G309" s="3">
        <v>11</v>
      </c>
      <c r="H309">
        <v>0</v>
      </c>
      <c r="I309" t="s">
        <v>180</v>
      </c>
      <c r="J309">
        <v>0</v>
      </c>
      <c r="K309">
        <v>0</v>
      </c>
      <c r="L309">
        <v>0</v>
      </c>
      <c r="M309">
        <v>0</v>
      </c>
    </row>
    <row r="310" spans="1:13" x14ac:dyDescent="0.25">
      <c r="A310">
        <v>309</v>
      </c>
      <c r="B310">
        <v>22</v>
      </c>
      <c r="C310">
        <v>4</v>
      </c>
      <c r="D310" s="2">
        <v>41887.329421296294</v>
      </c>
      <c r="E310" t="s">
        <v>179</v>
      </c>
      <c r="F310">
        <v>240</v>
      </c>
      <c r="G310" s="3">
        <v>12</v>
      </c>
      <c r="H310">
        <v>1411</v>
      </c>
      <c r="I310" t="s">
        <v>181</v>
      </c>
      <c r="J310">
        <v>13</v>
      </c>
      <c r="K310">
        <v>16</v>
      </c>
      <c r="L310">
        <v>8</v>
      </c>
      <c r="M310">
        <v>5</v>
      </c>
    </row>
    <row r="311" spans="1:13" x14ac:dyDescent="0.25">
      <c r="A311">
        <v>310</v>
      </c>
      <c r="B311">
        <v>22</v>
      </c>
      <c r="C311">
        <v>29</v>
      </c>
      <c r="D311" s="2">
        <v>41878.909918981481</v>
      </c>
      <c r="E311" t="s">
        <v>179</v>
      </c>
      <c r="F311">
        <v>300</v>
      </c>
      <c r="G311" s="3">
        <v>13</v>
      </c>
      <c r="H311">
        <v>1324</v>
      </c>
      <c r="I311" t="s">
        <v>181</v>
      </c>
      <c r="J311">
        <v>17</v>
      </c>
      <c r="K311">
        <v>20</v>
      </c>
      <c r="L311">
        <v>4</v>
      </c>
      <c r="M311">
        <v>1</v>
      </c>
    </row>
    <row r="312" spans="1:13" x14ac:dyDescent="0.25">
      <c r="A312">
        <v>311</v>
      </c>
      <c r="B312">
        <v>22</v>
      </c>
      <c r="C312">
        <v>31</v>
      </c>
      <c r="D312" s="2">
        <v>41875.782777777778</v>
      </c>
      <c r="E312" t="s">
        <v>179</v>
      </c>
      <c r="F312">
        <v>60</v>
      </c>
      <c r="G312" s="3">
        <v>14</v>
      </c>
      <c r="H312">
        <v>1378</v>
      </c>
      <c r="I312" t="s">
        <v>181</v>
      </c>
      <c r="J312">
        <v>15</v>
      </c>
      <c r="K312">
        <v>6</v>
      </c>
      <c r="L312">
        <v>6</v>
      </c>
      <c r="M312">
        <v>15</v>
      </c>
    </row>
    <row r="313" spans="1:13" x14ac:dyDescent="0.25">
      <c r="A313">
        <v>312</v>
      </c>
      <c r="B313">
        <v>22</v>
      </c>
      <c r="C313">
        <v>20</v>
      </c>
      <c r="D313" s="2">
        <v>41866.374386574076</v>
      </c>
      <c r="E313" t="s">
        <v>179</v>
      </c>
      <c r="F313">
        <v>120</v>
      </c>
      <c r="G313" s="3">
        <v>15</v>
      </c>
      <c r="H313">
        <v>1291</v>
      </c>
      <c r="I313" t="s">
        <v>181</v>
      </c>
      <c r="J313">
        <v>20</v>
      </c>
      <c r="K313">
        <v>16</v>
      </c>
      <c r="L313">
        <v>1</v>
      </c>
      <c r="M313">
        <v>5</v>
      </c>
    </row>
    <row r="314" spans="1:13" x14ac:dyDescent="0.25">
      <c r="A314">
        <v>313</v>
      </c>
      <c r="B314">
        <v>22</v>
      </c>
      <c r="C314">
        <v>16</v>
      </c>
      <c r="D314" s="2">
        <v>41887.997233796297</v>
      </c>
      <c r="E314" t="s">
        <v>179</v>
      </c>
      <c r="F314">
        <v>240</v>
      </c>
      <c r="G314" s="3">
        <v>16</v>
      </c>
      <c r="H314">
        <v>1345</v>
      </c>
      <c r="I314" t="s">
        <v>181</v>
      </c>
      <c r="J314">
        <v>16</v>
      </c>
      <c r="K314">
        <v>19</v>
      </c>
      <c r="L314">
        <v>5</v>
      </c>
      <c r="M314">
        <v>2</v>
      </c>
    </row>
    <row r="315" spans="1:13" x14ac:dyDescent="0.25">
      <c r="A315">
        <v>314</v>
      </c>
      <c r="B315">
        <v>22</v>
      </c>
      <c r="C315">
        <v>28</v>
      </c>
      <c r="D315" s="2">
        <v>41885.578425925924</v>
      </c>
      <c r="E315" t="s">
        <v>179</v>
      </c>
      <c r="F315">
        <v>300</v>
      </c>
      <c r="G315" s="3">
        <v>17</v>
      </c>
      <c r="H315">
        <v>1451</v>
      </c>
      <c r="I315" t="s">
        <v>181</v>
      </c>
      <c r="J315">
        <v>9</v>
      </c>
      <c r="K315">
        <v>18</v>
      </c>
      <c r="L315">
        <v>12</v>
      </c>
      <c r="M315">
        <v>3</v>
      </c>
    </row>
    <row r="316" spans="1:13" x14ac:dyDescent="0.25">
      <c r="A316">
        <v>315</v>
      </c>
      <c r="B316">
        <v>22</v>
      </c>
      <c r="C316">
        <v>3</v>
      </c>
      <c r="D316" s="2">
        <v>41876.128368055557</v>
      </c>
      <c r="E316" t="s">
        <v>179</v>
      </c>
      <c r="F316">
        <v>60</v>
      </c>
      <c r="G316" s="3">
        <v>18</v>
      </c>
      <c r="H316">
        <v>1312</v>
      </c>
      <c r="I316" t="s">
        <v>181</v>
      </c>
      <c r="J316">
        <v>18</v>
      </c>
      <c r="K316">
        <v>10</v>
      </c>
      <c r="L316">
        <v>3</v>
      </c>
      <c r="M316">
        <v>11</v>
      </c>
    </row>
    <row r="317" spans="1:13" x14ac:dyDescent="0.25">
      <c r="A317">
        <v>316</v>
      </c>
      <c r="B317">
        <v>22</v>
      </c>
      <c r="C317">
        <v>9</v>
      </c>
      <c r="D317" s="2">
        <v>41873.001226851855</v>
      </c>
      <c r="E317" t="s">
        <v>179</v>
      </c>
      <c r="F317">
        <v>150</v>
      </c>
      <c r="G317" s="3">
        <v>19</v>
      </c>
      <c r="H317">
        <v>1418</v>
      </c>
      <c r="I317" t="s">
        <v>181</v>
      </c>
      <c r="J317">
        <v>11</v>
      </c>
      <c r="K317">
        <v>9</v>
      </c>
      <c r="L317">
        <v>10</v>
      </c>
      <c r="M317">
        <v>12</v>
      </c>
    </row>
    <row r="318" spans="1:13" x14ac:dyDescent="0.25">
      <c r="A318">
        <v>317</v>
      </c>
      <c r="B318">
        <v>22</v>
      </c>
      <c r="C318">
        <v>1</v>
      </c>
      <c r="D318" s="2">
        <v>41888.66505787037</v>
      </c>
      <c r="E318" t="s">
        <v>179</v>
      </c>
      <c r="F318">
        <v>240</v>
      </c>
      <c r="G318" s="3">
        <v>20</v>
      </c>
      <c r="H318">
        <v>1472</v>
      </c>
      <c r="I318" t="s">
        <v>181</v>
      </c>
      <c r="J318">
        <v>5</v>
      </c>
      <c r="K318">
        <v>11</v>
      </c>
      <c r="L318">
        <v>16</v>
      </c>
      <c r="M318">
        <v>10</v>
      </c>
    </row>
    <row r="319" spans="1:13" x14ac:dyDescent="0.25">
      <c r="A319">
        <v>318</v>
      </c>
      <c r="B319">
        <v>23</v>
      </c>
      <c r="C319">
        <v>26</v>
      </c>
      <c r="D319" s="2">
        <v>41892.288865740738</v>
      </c>
      <c r="E319" t="s">
        <v>179</v>
      </c>
      <c r="F319">
        <v>90</v>
      </c>
      <c r="G319" s="3">
        <v>1</v>
      </c>
      <c r="H319">
        <v>1269</v>
      </c>
      <c r="I319" t="s">
        <v>181</v>
      </c>
      <c r="J319">
        <v>12</v>
      </c>
      <c r="K319">
        <v>10</v>
      </c>
      <c r="L319">
        <v>9</v>
      </c>
      <c r="M319">
        <v>11</v>
      </c>
    </row>
    <row r="320" spans="1:13" x14ac:dyDescent="0.25">
      <c r="A320">
        <v>319</v>
      </c>
      <c r="B320">
        <v>23</v>
      </c>
      <c r="C320">
        <v>15</v>
      </c>
      <c r="D320" s="2">
        <v>41891.881168981483</v>
      </c>
      <c r="E320" t="s">
        <v>179</v>
      </c>
      <c r="F320">
        <v>180</v>
      </c>
      <c r="G320" s="3">
        <v>2</v>
      </c>
      <c r="H320">
        <v>1321</v>
      </c>
      <c r="I320" t="s">
        <v>181</v>
      </c>
      <c r="J320">
        <v>10</v>
      </c>
      <c r="K320">
        <v>14</v>
      </c>
      <c r="L320">
        <v>11</v>
      </c>
      <c r="M320">
        <v>7</v>
      </c>
    </row>
    <row r="321" spans="1:13" x14ac:dyDescent="0.25">
      <c r="A321">
        <v>320</v>
      </c>
      <c r="B321">
        <v>23</v>
      </c>
      <c r="C321">
        <v>21</v>
      </c>
      <c r="D321" s="2">
        <v>41888.71166666667</v>
      </c>
      <c r="E321" t="s">
        <v>179</v>
      </c>
      <c r="F321">
        <v>270</v>
      </c>
      <c r="G321" s="3">
        <v>3</v>
      </c>
      <c r="H321">
        <v>0</v>
      </c>
      <c r="I321" t="s">
        <v>180</v>
      </c>
      <c r="J321">
        <v>0</v>
      </c>
      <c r="K321">
        <v>0</v>
      </c>
      <c r="L321">
        <v>0</v>
      </c>
      <c r="M321">
        <v>0</v>
      </c>
    </row>
    <row r="322" spans="1:13" x14ac:dyDescent="0.25">
      <c r="A322">
        <v>321</v>
      </c>
      <c r="B322">
        <v>23</v>
      </c>
      <c r="C322">
        <v>7</v>
      </c>
      <c r="D322" s="2">
        <v>41895.124537037038</v>
      </c>
      <c r="E322" t="s">
        <v>179</v>
      </c>
      <c r="F322">
        <v>60</v>
      </c>
      <c r="G322" s="3">
        <v>4</v>
      </c>
      <c r="H322">
        <v>1331</v>
      </c>
      <c r="I322" t="s">
        <v>181</v>
      </c>
      <c r="J322">
        <v>8</v>
      </c>
      <c r="K322">
        <v>6</v>
      </c>
      <c r="L322">
        <v>13</v>
      </c>
      <c r="M322">
        <v>15</v>
      </c>
    </row>
    <row r="323" spans="1:13" x14ac:dyDescent="0.25">
      <c r="A323">
        <v>322</v>
      </c>
      <c r="B323">
        <v>23</v>
      </c>
      <c r="C323">
        <v>27</v>
      </c>
      <c r="D323" s="2">
        <v>41891.400648148148</v>
      </c>
      <c r="E323" t="s">
        <v>179</v>
      </c>
      <c r="F323">
        <v>60</v>
      </c>
      <c r="G323" s="3">
        <v>5</v>
      </c>
      <c r="H323">
        <v>1324</v>
      </c>
      <c r="I323" t="s">
        <v>181</v>
      </c>
      <c r="J323">
        <v>9</v>
      </c>
      <c r="K323">
        <v>7</v>
      </c>
      <c r="L323">
        <v>12</v>
      </c>
      <c r="M323">
        <v>14</v>
      </c>
    </row>
    <row r="324" spans="1:13" x14ac:dyDescent="0.25">
      <c r="A324">
        <v>323</v>
      </c>
      <c r="B324">
        <v>23</v>
      </c>
      <c r="C324">
        <v>17</v>
      </c>
      <c r="D324" s="2">
        <v>41888.937164351853</v>
      </c>
      <c r="E324" t="s">
        <v>179</v>
      </c>
      <c r="F324">
        <v>30</v>
      </c>
      <c r="G324" s="3">
        <v>6</v>
      </c>
      <c r="H324">
        <v>0</v>
      </c>
      <c r="I324" t="s">
        <v>182</v>
      </c>
      <c r="J324">
        <v>0</v>
      </c>
      <c r="K324">
        <v>0</v>
      </c>
      <c r="L324">
        <v>0</v>
      </c>
      <c r="M324">
        <v>0</v>
      </c>
    </row>
    <row r="325" spans="1:13" x14ac:dyDescent="0.25">
      <c r="A325">
        <v>324</v>
      </c>
      <c r="B325">
        <v>23</v>
      </c>
      <c r="C325">
        <v>12</v>
      </c>
      <c r="D325" s="2">
        <v>41894.591932870368</v>
      </c>
      <c r="E325" t="s">
        <v>179</v>
      </c>
      <c r="F325">
        <v>90</v>
      </c>
      <c r="G325" s="3">
        <v>7</v>
      </c>
      <c r="H325">
        <v>0</v>
      </c>
      <c r="I325" t="s">
        <v>180</v>
      </c>
      <c r="J325">
        <v>0</v>
      </c>
      <c r="K325">
        <v>0</v>
      </c>
      <c r="L325">
        <v>0</v>
      </c>
      <c r="M325">
        <v>0</v>
      </c>
    </row>
    <row r="326" spans="1:13" x14ac:dyDescent="0.25">
      <c r="A326">
        <v>325</v>
      </c>
      <c r="B326">
        <v>23</v>
      </c>
      <c r="C326">
        <v>24</v>
      </c>
      <c r="D326" s="2">
        <v>41889.657569444447</v>
      </c>
      <c r="E326" t="s">
        <v>179</v>
      </c>
      <c r="F326">
        <v>120</v>
      </c>
      <c r="G326" s="3">
        <v>8</v>
      </c>
      <c r="H326">
        <v>1226</v>
      </c>
      <c r="I326" t="s">
        <v>181</v>
      </c>
      <c r="J326">
        <v>20</v>
      </c>
      <c r="K326">
        <v>16</v>
      </c>
      <c r="L326">
        <v>1</v>
      </c>
      <c r="M326">
        <v>5</v>
      </c>
    </row>
    <row r="327" spans="1:13" x14ac:dyDescent="0.25">
      <c r="A327">
        <v>326</v>
      </c>
      <c r="B327">
        <v>23</v>
      </c>
      <c r="C327">
        <v>1</v>
      </c>
      <c r="D327" s="2">
        <v>41888.125335648147</v>
      </c>
      <c r="E327" t="s">
        <v>179</v>
      </c>
      <c r="F327">
        <v>240</v>
      </c>
      <c r="G327" s="3">
        <v>9</v>
      </c>
      <c r="H327">
        <v>1399</v>
      </c>
      <c r="I327" t="s">
        <v>181</v>
      </c>
      <c r="J327">
        <v>6</v>
      </c>
      <c r="K327">
        <v>12</v>
      </c>
      <c r="L327">
        <v>15</v>
      </c>
      <c r="M327">
        <v>9</v>
      </c>
    </row>
    <row r="328" spans="1:13" x14ac:dyDescent="0.25">
      <c r="A328">
        <v>327</v>
      </c>
      <c r="B328">
        <v>23</v>
      </c>
      <c r="C328">
        <v>8</v>
      </c>
      <c r="D328" s="2">
        <v>41888.456979166665</v>
      </c>
      <c r="E328" t="s">
        <v>179</v>
      </c>
      <c r="F328">
        <v>90</v>
      </c>
      <c r="G328" s="3">
        <v>10</v>
      </c>
      <c r="H328">
        <v>1253</v>
      </c>
      <c r="I328" t="s">
        <v>181</v>
      </c>
      <c r="J328">
        <v>16</v>
      </c>
      <c r="K328">
        <v>11</v>
      </c>
      <c r="L328">
        <v>5</v>
      </c>
      <c r="M328">
        <v>10</v>
      </c>
    </row>
    <row r="329" spans="1:13" x14ac:dyDescent="0.25">
      <c r="A329">
        <v>328</v>
      </c>
      <c r="B329">
        <v>23</v>
      </c>
      <c r="C329">
        <v>14</v>
      </c>
      <c r="D329" s="2">
        <v>41893.67454861111</v>
      </c>
      <c r="E329" t="s">
        <v>179</v>
      </c>
      <c r="F329">
        <v>180</v>
      </c>
      <c r="G329" s="3">
        <v>11</v>
      </c>
      <c r="H329">
        <v>1241</v>
      </c>
      <c r="I329" t="s">
        <v>181</v>
      </c>
      <c r="J329">
        <v>18</v>
      </c>
      <c r="K329">
        <v>18</v>
      </c>
      <c r="L329">
        <v>3</v>
      </c>
      <c r="M329">
        <v>3</v>
      </c>
    </row>
    <row r="330" spans="1:13" x14ac:dyDescent="0.25">
      <c r="A330">
        <v>329</v>
      </c>
      <c r="B330">
        <v>23</v>
      </c>
      <c r="C330">
        <v>4</v>
      </c>
      <c r="D330" s="2">
        <v>41892.934675925928</v>
      </c>
      <c r="E330" t="s">
        <v>179</v>
      </c>
      <c r="F330">
        <v>30</v>
      </c>
      <c r="G330" s="3">
        <v>12</v>
      </c>
      <c r="H330">
        <v>1230</v>
      </c>
      <c r="I330" t="s">
        <v>181</v>
      </c>
      <c r="J330">
        <v>19</v>
      </c>
      <c r="K330">
        <v>8</v>
      </c>
      <c r="L330">
        <v>2</v>
      </c>
      <c r="M330">
        <v>13</v>
      </c>
    </row>
    <row r="331" spans="1:13" x14ac:dyDescent="0.25">
      <c r="A331">
        <v>330</v>
      </c>
      <c r="B331">
        <v>23</v>
      </c>
      <c r="C331">
        <v>16</v>
      </c>
      <c r="D331" s="2">
        <v>41892.182986111111</v>
      </c>
      <c r="E331" t="s">
        <v>179</v>
      </c>
      <c r="F331">
        <v>120</v>
      </c>
      <c r="G331" s="3">
        <v>13</v>
      </c>
      <c r="H331">
        <v>1268</v>
      </c>
      <c r="I331" t="s">
        <v>181</v>
      </c>
      <c r="J331">
        <v>13</v>
      </c>
      <c r="K331">
        <v>13</v>
      </c>
      <c r="L331">
        <v>8</v>
      </c>
      <c r="M331">
        <v>8</v>
      </c>
    </row>
    <row r="332" spans="1:13" x14ac:dyDescent="0.25">
      <c r="A332">
        <v>331</v>
      </c>
      <c r="B332">
        <v>23</v>
      </c>
      <c r="C332">
        <v>19</v>
      </c>
      <c r="D332" s="2">
        <v>41891.442407407405</v>
      </c>
      <c r="E332" t="s">
        <v>179</v>
      </c>
      <c r="F332">
        <v>300</v>
      </c>
      <c r="G332" s="3">
        <v>14</v>
      </c>
      <c r="H332">
        <v>1257</v>
      </c>
      <c r="I332" t="s">
        <v>181</v>
      </c>
      <c r="J332">
        <v>15</v>
      </c>
      <c r="K332">
        <v>20</v>
      </c>
      <c r="L332">
        <v>6</v>
      </c>
      <c r="M332">
        <v>1</v>
      </c>
    </row>
    <row r="333" spans="1:13" x14ac:dyDescent="0.25">
      <c r="A333">
        <v>332</v>
      </c>
      <c r="B333">
        <v>23</v>
      </c>
      <c r="C333">
        <v>6</v>
      </c>
      <c r="D333" s="2">
        <v>41890.702534722222</v>
      </c>
      <c r="E333" t="s">
        <v>179</v>
      </c>
      <c r="F333">
        <v>60</v>
      </c>
      <c r="G333" s="3">
        <v>15</v>
      </c>
      <c r="H333">
        <v>1246</v>
      </c>
      <c r="I333" t="s">
        <v>181</v>
      </c>
      <c r="J333">
        <v>17</v>
      </c>
      <c r="K333">
        <v>9</v>
      </c>
      <c r="L333">
        <v>4</v>
      </c>
      <c r="M333">
        <v>12</v>
      </c>
    </row>
    <row r="334" spans="1:13" x14ac:dyDescent="0.25">
      <c r="A334">
        <v>333</v>
      </c>
      <c r="B334">
        <v>23</v>
      </c>
      <c r="C334">
        <v>20</v>
      </c>
      <c r="D334" s="2">
        <v>41889.920289351852</v>
      </c>
      <c r="E334" t="s">
        <v>179</v>
      </c>
      <c r="F334">
        <v>150</v>
      </c>
      <c r="G334" s="3">
        <v>16</v>
      </c>
      <c r="H334">
        <v>1284</v>
      </c>
      <c r="I334" t="s">
        <v>181</v>
      </c>
      <c r="J334">
        <v>11</v>
      </c>
      <c r="K334">
        <v>15</v>
      </c>
      <c r="L334">
        <v>10</v>
      </c>
      <c r="M334">
        <v>6</v>
      </c>
    </row>
    <row r="335" spans="1:13" x14ac:dyDescent="0.25">
      <c r="A335">
        <v>334</v>
      </c>
      <c r="B335">
        <v>23</v>
      </c>
      <c r="C335">
        <v>30</v>
      </c>
      <c r="D335" s="2">
        <v>41889.210787037038</v>
      </c>
      <c r="E335" t="s">
        <v>179</v>
      </c>
      <c r="F335">
        <v>0</v>
      </c>
      <c r="G335" s="3">
        <v>17</v>
      </c>
      <c r="H335">
        <v>0</v>
      </c>
      <c r="I335" t="s">
        <v>182</v>
      </c>
      <c r="J335">
        <v>0</v>
      </c>
      <c r="K335">
        <v>0</v>
      </c>
      <c r="L335">
        <v>0</v>
      </c>
      <c r="M335">
        <v>0</v>
      </c>
    </row>
    <row r="336" spans="1:13" x14ac:dyDescent="0.25">
      <c r="A336">
        <v>335</v>
      </c>
      <c r="B336">
        <v>23</v>
      </c>
      <c r="C336">
        <v>9</v>
      </c>
      <c r="D336" s="2">
        <v>41890.061307870368</v>
      </c>
      <c r="E336" t="s">
        <v>179</v>
      </c>
      <c r="F336">
        <v>30</v>
      </c>
      <c r="G336" s="3">
        <v>18</v>
      </c>
      <c r="H336">
        <v>0</v>
      </c>
      <c r="I336" t="s">
        <v>180</v>
      </c>
      <c r="J336">
        <v>0</v>
      </c>
      <c r="K336">
        <v>0</v>
      </c>
      <c r="L336">
        <v>0</v>
      </c>
      <c r="M336">
        <v>0</v>
      </c>
    </row>
    <row r="337" spans="1:13" x14ac:dyDescent="0.25">
      <c r="A337">
        <v>336</v>
      </c>
      <c r="B337">
        <v>23</v>
      </c>
      <c r="C337">
        <v>2</v>
      </c>
      <c r="D337" s="2">
        <v>41892.218738425923</v>
      </c>
      <c r="E337" t="s">
        <v>179</v>
      </c>
      <c r="F337">
        <v>300</v>
      </c>
      <c r="G337" s="3">
        <v>19</v>
      </c>
      <c r="H337">
        <v>0</v>
      </c>
      <c r="I337" t="s">
        <v>182</v>
      </c>
      <c r="J337">
        <v>0</v>
      </c>
      <c r="K337">
        <v>0</v>
      </c>
      <c r="L337">
        <v>0</v>
      </c>
      <c r="M337">
        <v>0</v>
      </c>
    </row>
    <row r="338" spans="1:13" x14ac:dyDescent="0.25">
      <c r="A338">
        <v>337</v>
      </c>
      <c r="B338">
        <v>23</v>
      </c>
      <c r="C338">
        <v>18</v>
      </c>
      <c r="D338" s="2">
        <v>41895.493356481478</v>
      </c>
      <c r="E338" t="s">
        <v>179</v>
      </c>
      <c r="F338">
        <v>300</v>
      </c>
      <c r="G338" s="3">
        <v>20</v>
      </c>
      <c r="H338">
        <v>1265</v>
      </c>
      <c r="I338" t="s">
        <v>181</v>
      </c>
      <c r="J338">
        <v>14</v>
      </c>
      <c r="K338">
        <v>19</v>
      </c>
      <c r="L338">
        <v>7</v>
      </c>
      <c r="M338">
        <v>2</v>
      </c>
    </row>
    <row r="339" spans="1:13" x14ac:dyDescent="0.25">
      <c r="A339">
        <v>338</v>
      </c>
      <c r="B339">
        <v>23</v>
      </c>
      <c r="C339">
        <v>31</v>
      </c>
      <c r="D339" s="2">
        <v>41889.101643518516</v>
      </c>
      <c r="E339" t="s">
        <v>179</v>
      </c>
      <c r="F339">
        <v>270</v>
      </c>
      <c r="G339" s="3">
        <v>21</v>
      </c>
      <c r="H339">
        <v>1370</v>
      </c>
      <c r="I339" t="s">
        <v>181</v>
      </c>
      <c r="J339">
        <v>7</v>
      </c>
      <c r="K339">
        <v>17</v>
      </c>
      <c r="L339">
        <v>14</v>
      </c>
      <c r="M339">
        <v>4</v>
      </c>
    </row>
    <row r="340" spans="1:13" x14ac:dyDescent="0.25">
      <c r="A340">
        <v>339</v>
      </c>
      <c r="B340">
        <v>24</v>
      </c>
      <c r="C340">
        <v>18</v>
      </c>
      <c r="D340" s="2">
        <v>42076.681481481479</v>
      </c>
      <c r="E340" t="s">
        <v>179</v>
      </c>
      <c r="F340">
        <v>30</v>
      </c>
      <c r="G340" s="3">
        <v>1</v>
      </c>
      <c r="H340">
        <v>1364</v>
      </c>
      <c r="I340" t="s">
        <v>181</v>
      </c>
      <c r="J340">
        <v>18</v>
      </c>
      <c r="K340">
        <v>18</v>
      </c>
      <c r="L340">
        <v>3</v>
      </c>
      <c r="M340">
        <v>3</v>
      </c>
    </row>
    <row r="341" spans="1:13" x14ac:dyDescent="0.25">
      <c r="A341">
        <v>340</v>
      </c>
      <c r="B341">
        <v>24</v>
      </c>
      <c r="C341">
        <v>28</v>
      </c>
      <c r="D341" s="2">
        <v>41908.331446759257</v>
      </c>
      <c r="E341" t="s">
        <v>179</v>
      </c>
      <c r="F341">
        <v>0</v>
      </c>
      <c r="G341" s="3">
        <v>2</v>
      </c>
      <c r="H341">
        <v>1286</v>
      </c>
      <c r="I341" t="s">
        <v>181</v>
      </c>
      <c r="J341">
        <v>19</v>
      </c>
      <c r="K341">
        <v>19</v>
      </c>
      <c r="L341">
        <v>2</v>
      </c>
      <c r="M341">
        <v>2</v>
      </c>
    </row>
    <row r="342" spans="1:13" x14ac:dyDescent="0.25">
      <c r="A342">
        <v>341</v>
      </c>
      <c r="B342">
        <v>24</v>
      </c>
      <c r="C342">
        <v>14</v>
      </c>
      <c r="D342" s="2">
        <v>42013.189918981479</v>
      </c>
      <c r="E342" t="s">
        <v>179</v>
      </c>
      <c r="F342">
        <v>300</v>
      </c>
      <c r="G342" s="3">
        <v>3</v>
      </c>
      <c r="H342">
        <v>0</v>
      </c>
      <c r="I342" t="s">
        <v>180</v>
      </c>
      <c r="J342">
        <v>0</v>
      </c>
      <c r="K342">
        <v>0</v>
      </c>
      <c r="L342">
        <v>0</v>
      </c>
      <c r="M342">
        <v>0</v>
      </c>
    </row>
    <row r="343" spans="1:13" x14ac:dyDescent="0.25">
      <c r="A343">
        <v>342</v>
      </c>
      <c r="B343">
        <v>24</v>
      </c>
      <c r="C343">
        <v>3</v>
      </c>
      <c r="D343" s="2">
        <v>42202.952141203707</v>
      </c>
      <c r="E343" t="s">
        <v>179</v>
      </c>
      <c r="F343">
        <v>30</v>
      </c>
      <c r="G343" s="3">
        <v>4</v>
      </c>
      <c r="H343">
        <v>1379</v>
      </c>
      <c r="I343" t="s">
        <v>181</v>
      </c>
      <c r="J343">
        <v>17</v>
      </c>
      <c r="K343">
        <v>17</v>
      </c>
      <c r="L343">
        <v>4</v>
      </c>
      <c r="M343">
        <v>4</v>
      </c>
    </row>
    <row r="344" spans="1:13" x14ac:dyDescent="0.25">
      <c r="A344">
        <v>343</v>
      </c>
      <c r="B344">
        <v>24</v>
      </c>
      <c r="C344">
        <v>6</v>
      </c>
      <c r="D344" s="2">
        <v>41916.214375000003</v>
      </c>
      <c r="E344" t="s">
        <v>179</v>
      </c>
      <c r="F344">
        <v>0</v>
      </c>
      <c r="G344" s="3">
        <v>5</v>
      </c>
      <c r="H344">
        <v>0</v>
      </c>
      <c r="I344" t="s">
        <v>180</v>
      </c>
      <c r="J344">
        <v>0</v>
      </c>
      <c r="K344">
        <v>0</v>
      </c>
      <c r="L344">
        <v>0</v>
      </c>
      <c r="M344">
        <v>0</v>
      </c>
    </row>
    <row r="345" spans="1:13" x14ac:dyDescent="0.25">
      <c r="A345">
        <v>344</v>
      </c>
      <c r="B345">
        <v>24</v>
      </c>
      <c r="C345">
        <v>8</v>
      </c>
      <c r="D345" s="2">
        <v>42178.126261574071</v>
      </c>
      <c r="E345" t="s">
        <v>179</v>
      </c>
      <c r="F345">
        <v>120</v>
      </c>
      <c r="G345" s="3">
        <v>6</v>
      </c>
      <c r="H345">
        <v>0</v>
      </c>
      <c r="I345" t="s">
        <v>182</v>
      </c>
      <c r="J345">
        <v>0</v>
      </c>
      <c r="K345">
        <v>0</v>
      </c>
      <c r="L345">
        <v>0</v>
      </c>
      <c r="M345">
        <v>0</v>
      </c>
    </row>
    <row r="346" spans="1:13" x14ac:dyDescent="0.25">
      <c r="A346">
        <v>345</v>
      </c>
      <c r="B346">
        <v>24</v>
      </c>
      <c r="C346">
        <v>1</v>
      </c>
      <c r="D346" s="2">
        <v>42111.682812500003</v>
      </c>
      <c r="E346" t="s">
        <v>179</v>
      </c>
      <c r="F346">
        <v>90</v>
      </c>
      <c r="G346" s="3">
        <v>7</v>
      </c>
      <c r="H346">
        <v>1257</v>
      </c>
      <c r="I346" t="s">
        <v>181</v>
      </c>
      <c r="J346">
        <v>20</v>
      </c>
      <c r="K346">
        <v>20</v>
      </c>
      <c r="L346">
        <v>1</v>
      </c>
      <c r="M346">
        <v>1</v>
      </c>
    </row>
    <row r="347" spans="1:13" x14ac:dyDescent="0.25">
      <c r="A347">
        <v>346</v>
      </c>
      <c r="B347">
        <v>25</v>
      </c>
      <c r="C347">
        <v>30</v>
      </c>
      <c r="D347" s="2">
        <v>41999.163263888891</v>
      </c>
      <c r="E347" t="s">
        <v>179</v>
      </c>
      <c r="F347">
        <v>150</v>
      </c>
      <c r="G347" s="3">
        <v>1</v>
      </c>
      <c r="H347">
        <v>302</v>
      </c>
      <c r="I347" t="s">
        <v>181</v>
      </c>
      <c r="J347">
        <v>15</v>
      </c>
      <c r="K347">
        <v>14</v>
      </c>
      <c r="L347">
        <v>6</v>
      </c>
      <c r="M347">
        <v>7</v>
      </c>
    </row>
    <row r="348" spans="1:13" x14ac:dyDescent="0.25">
      <c r="A348">
        <v>347</v>
      </c>
      <c r="B348">
        <v>25</v>
      </c>
      <c r="C348">
        <v>21</v>
      </c>
      <c r="D348" s="2">
        <v>42115.829212962963</v>
      </c>
      <c r="E348" t="s">
        <v>179</v>
      </c>
      <c r="F348">
        <v>270</v>
      </c>
      <c r="G348" s="3">
        <v>2</v>
      </c>
      <c r="H348">
        <v>0</v>
      </c>
      <c r="I348" t="s">
        <v>182</v>
      </c>
      <c r="J348">
        <v>0</v>
      </c>
      <c r="K348">
        <v>0</v>
      </c>
      <c r="L348">
        <v>0</v>
      </c>
      <c r="M348">
        <v>0</v>
      </c>
    </row>
    <row r="349" spans="1:13" x14ac:dyDescent="0.25">
      <c r="A349">
        <v>348</v>
      </c>
      <c r="B349">
        <v>25</v>
      </c>
      <c r="C349">
        <v>10</v>
      </c>
      <c r="D349" s="2">
        <v>42031.654976851853</v>
      </c>
      <c r="E349" t="s">
        <v>179</v>
      </c>
      <c r="F349">
        <v>90</v>
      </c>
      <c r="G349" s="3">
        <v>3</v>
      </c>
      <c r="H349">
        <v>281</v>
      </c>
      <c r="I349" t="s">
        <v>181</v>
      </c>
      <c r="J349">
        <v>18</v>
      </c>
      <c r="K349">
        <v>12</v>
      </c>
      <c r="L349">
        <v>3</v>
      </c>
      <c r="M349">
        <v>9</v>
      </c>
    </row>
    <row r="350" spans="1:13" x14ac:dyDescent="0.25">
      <c r="A350">
        <v>349</v>
      </c>
      <c r="B350">
        <v>25</v>
      </c>
      <c r="C350">
        <v>16</v>
      </c>
      <c r="D350" s="2">
        <v>42174.568530092591</v>
      </c>
      <c r="E350" t="s">
        <v>179</v>
      </c>
      <c r="F350">
        <v>150</v>
      </c>
      <c r="G350" s="3">
        <v>4</v>
      </c>
      <c r="H350">
        <v>276</v>
      </c>
      <c r="I350" t="s">
        <v>181</v>
      </c>
      <c r="J350">
        <v>20</v>
      </c>
      <c r="K350">
        <v>15</v>
      </c>
      <c r="L350">
        <v>1</v>
      </c>
      <c r="M350">
        <v>6</v>
      </c>
    </row>
    <row r="351" spans="1:13" x14ac:dyDescent="0.25">
      <c r="A351">
        <v>350</v>
      </c>
      <c r="B351">
        <v>25</v>
      </c>
      <c r="C351">
        <v>4</v>
      </c>
      <c r="D351" s="2">
        <v>41961.523576388892</v>
      </c>
      <c r="E351" t="s">
        <v>179</v>
      </c>
      <c r="F351">
        <v>120</v>
      </c>
      <c r="G351" s="3">
        <v>5</v>
      </c>
      <c r="H351">
        <v>302</v>
      </c>
      <c r="I351" t="s">
        <v>181</v>
      </c>
      <c r="J351">
        <v>15</v>
      </c>
      <c r="K351">
        <v>13</v>
      </c>
      <c r="L351">
        <v>6</v>
      </c>
      <c r="M351">
        <v>8</v>
      </c>
    </row>
    <row r="352" spans="1:13" x14ac:dyDescent="0.25">
      <c r="A352">
        <v>351</v>
      </c>
      <c r="B352">
        <v>25</v>
      </c>
      <c r="C352">
        <v>6</v>
      </c>
      <c r="D352" s="2">
        <v>42104.716805555552</v>
      </c>
      <c r="E352" t="s">
        <v>179</v>
      </c>
      <c r="F352">
        <v>240</v>
      </c>
      <c r="G352" s="3">
        <v>6</v>
      </c>
      <c r="H352">
        <v>297</v>
      </c>
      <c r="I352" t="s">
        <v>181</v>
      </c>
      <c r="J352">
        <v>16</v>
      </c>
      <c r="K352">
        <v>17</v>
      </c>
      <c r="L352">
        <v>5</v>
      </c>
      <c r="M352">
        <v>4</v>
      </c>
    </row>
    <row r="353" spans="1:13" x14ac:dyDescent="0.25">
      <c r="A353">
        <v>352</v>
      </c>
      <c r="B353">
        <v>25</v>
      </c>
      <c r="C353">
        <v>9</v>
      </c>
      <c r="D353" s="2">
        <v>42247.630173611113</v>
      </c>
      <c r="E353" t="s">
        <v>179</v>
      </c>
      <c r="F353">
        <v>300</v>
      </c>
      <c r="G353" s="3">
        <v>7</v>
      </c>
      <c r="H353">
        <v>0</v>
      </c>
      <c r="I353" t="s">
        <v>182</v>
      </c>
      <c r="J353">
        <v>0</v>
      </c>
      <c r="K353">
        <v>0</v>
      </c>
      <c r="L353">
        <v>0</v>
      </c>
      <c r="M353">
        <v>0</v>
      </c>
    </row>
    <row r="354" spans="1:13" x14ac:dyDescent="0.25">
      <c r="A354">
        <v>353</v>
      </c>
      <c r="B354">
        <v>25</v>
      </c>
      <c r="C354">
        <v>18</v>
      </c>
      <c r="D354" s="2">
        <v>42065.940995370373</v>
      </c>
      <c r="E354" t="s">
        <v>179</v>
      </c>
      <c r="F354">
        <v>240</v>
      </c>
      <c r="G354" s="3">
        <v>8</v>
      </c>
      <c r="H354">
        <v>309</v>
      </c>
      <c r="I354" t="s">
        <v>181</v>
      </c>
      <c r="J354">
        <v>12</v>
      </c>
      <c r="K354">
        <v>16</v>
      </c>
      <c r="L354">
        <v>9</v>
      </c>
      <c r="M354">
        <v>5</v>
      </c>
    </row>
    <row r="355" spans="1:13" x14ac:dyDescent="0.25">
      <c r="A355">
        <v>354</v>
      </c>
      <c r="B355">
        <v>25</v>
      </c>
      <c r="C355">
        <v>17</v>
      </c>
      <c r="D355" s="2">
        <v>42199.53398148148</v>
      </c>
      <c r="E355" t="s">
        <v>179</v>
      </c>
      <c r="F355">
        <v>300</v>
      </c>
      <c r="G355" s="3">
        <v>9</v>
      </c>
      <c r="H355">
        <v>0</v>
      </c>
      <c r="I355" t="s">
        <v>182</v>
      </c>
      <c r="J355">
        <v>0</v>
      </c>
      <c r="K355">
        <v>0</v>
      </c>
      <c r="L355">
        <v>0</v>
      </c>
      <c r="M355">
        <v>0</v>
      </c>
    </row>
    <row r="356" spans="1:13" x14ac:dyDescent="0.25">
      <c r="A356">
        <v>355</v>
      </c>
      <c r="B356">
        <v>25</v>
      </c>
      <c r="C356">
        <v>14</v>
      </c>
      <c r="D356" s="2">
        <v>42084.046342592592</v>
      </c>
      <c r="E356" t="s">
        <v>179</v>
      </c>
      <c r="F356">
        <v>270</v>
      </c>
      <c r="G356" s="3">
        <v>10</v>
      </c>
      <c r="H356">
        <v>277</v>
      </c>
      <c r="I356" t="s">
        <v>181</v>
      </c>
      <c r="J356">
        <v>19</v>
      </c>
      <c r="K356">
        <v>20</v>
      </c>
      <c r="L356">
        <v>2</v>
      </c>
      <c r="M356">
        <v>1</v>
      </c>
    </row>
    <row r="357" spans="1:13" x14ac:dyDescent="0.25">
      <c r="A357">
        <v>356</v>
      </c>
      <c r="B357">
        <v>25</v>
      </c>
      <c r="C357">
        <v>23</v>
      </c>
      <c r="D357" s="2">
        <v>41984.696296296293</v>
      </c>
      <c r="E357" t="s">
        <v>179</v>
      </c>
      <c r="F357">
        <v>240</v>
      </c>
      <c r="G357" s="3">
        <v>11</v>
      </c>
      <c r="H357">
        <v>0</v>
      </c>
      <c r="I357" t="s">
        <v>182</v>
      </c>
      <c r="J357">
        <v>0</v>
      </c>
      <c r="K357">
        <v>0</v>
      </c>
      <c r="L357">
        <v>0</v>
      </c>
      <c r="M357">
        <v>0</v>
      </c>
    </row>
    <row r="358" spans="1:13" x14ac:dyDescent="0.25">
      <c r="A358">
        <v>357</v>
      </c>
      <c r="B358">
        <v>25</v>
      </c>
      <c r="C358">
        <v>26</v>
      </c>
      <c r="D358" s="2">
        <v>41996.066365740742</v>
      </c>
      <c r="E358" t="s">
        <v>179</v>
      </c>
      <c r="F358">
        <v>270</v>
      </c>
      <c r="G358" s="3">
        <v>12</v>
      </c>
      <c r="H358">
        <v>293</v>
      </c>
      <c r="I358" t="s">
        <v>181</v>
      </c>
      <c r="J358">
        <v>17</v>
      </c>
      <c r="K358">
        <v>19</v>
      </c>
      <c r="L358">
        <v>4</v>
      </c>
      <c r="M358">
        <v>2</v>
      </c>
    </row>
    <row r="359" spans="1:13" x14ac:dyDescent="0.25">
      <c r="A359">
        <v>358</v>
      </c>
      <c r="B359">
        <v>25</v>
      </c>
      <c r="C359">
        <v>12</v>
      </c>
      <c r="D359" s="2">
        <v>42243.591782407406</v>
      </c>
      <c r="E359" t="s">
        <v>179</v>
      </c>
      <c r="F359">
        <v>270</v>
      </c>
      <c r="G359" s="3">
        <v>13</v>
      </c>
      <c r="H359">
        <v>303</v>
      </c>
      <c r="I359" t="s">
        <v>181</v>
      </c>
      <c r="J359">
        <v>13</v>
      </c>
      <c r="K359">
        <v>18</v>
      </c>
      <c r="L359">
        <v>8</v>
      </c>
      <c r="M359">
        <v>3</v>
      </c>
    </row>
    <row r="360" spans="1:13" x14ac:dyDescent="0.25">
      <c r="A360">
        <v>359</v>
      </c>
      <c r="B360">
        <v>26</v>
      </c>
      <c r="C360">
        <v>6</v>
      </c>
      <c r="D360" s="2">
        <v>41955.084039351852</v>
      </c>
      <c r="E360" t="s">
        <v>179</v>
      </c>
      <c r="F360">
        <v>300</v>
      </c>
      <c r="G360" s="3">
        <v>1</v>
      </c>
      <c r="H360">
        <v>1783</v>
      </c>
      <c r="I360" t="s">
        <v>181</v>
      </c>
      <c r="J360">
        <v>11</v>
      </c>
      <c r="K360">
        <v>17</v>
      </c>
      <c r="L360">
        <v>10</v>
      </c>
      <c r="M360">
        <v>4</v>
      </c>
    </row>
    <row r="361" spans="1:13" x14ac:dyDescent="0.25">
      <c r="A361">
        <v>360</v>
      </c>
      <c r="B361">
        <v>26</v>
      </c>
      <c r="C361">
        <v>2</v>
      </c>
      <c r="D361" s="2">
        <v>41982.412928240738</v>
      </c>
      <c r="E361" t="s">
        <v>179</v>
      </c>
      <c r="F361">
        <v>300</v>
      </c>
      <c r="G361" s="3">
        <v>2</v>
      </c>
      <c r="H361">
        <v>1839</v>
      </c>
      <c r="I361" t="s">
        <v>181</v>
      </c>
      <c r="J361">
        <v>5</v>
      </c>
      <c r="K361">
        <v>15</v>
      </c>
      <c r="L361">
        <v>16</v>
      </c>
      <c r="M361">
        <v>6</v>
      </c>
    </row>
    <row r="362" spans="1:13" x14ac:dyDescent="0.25">
      <c r="A362">
        <v>361</v>
      </c>
      <c r="B362">
        <v>26</v>
      </c>
      <c r="C362">
        <v>26</v>
      </c>
      <c r="D362" s="2">
        <v>41926.721539351849</v>
      </c>
      <c r="E362" t="s">
        <v>179</v>
      </c>
      <c r="F362">
        <v>300</v>
      </c>
      <c r="G362" s="3">
        <v>3</v>
      </c>
      <c r="H362">
        <v>1846</v>
      </c>
      <c r="I362" t="s">
        <v>181</v>
      </c>
      <c r="J362">
        <v>3</v>
      </c>
      <c r="K362">
        <v>13</v>
      </c>
      <c r="L362">
        <v>18</v>
      </c>
      <c r="M362">
        <v>8</v>
      </c>
    </row>
    <row r="363" spans="1:13" x14ac:dyDescent="0.25">
      <c r="A363">
        <v>362</v>
      </c>
      <c r="B363">
        <v>26</v>
      </c>
      <c r="C363">
        <v>27</v>
      </c>
      <c r="D363" s="2">
        <v>41977.009641203702</v>
      </c>
      <c r="E363" t="s">
        <v>179</v>
      </c>
      <c r="F363">
        <v>270</v>
      </c>
      <c r="G363" s="3">
        <v>4</v>
      </c>
      <c r="H363">
        <v>1838</v>
      </c>
      <c r="I363" t="s">
        <v>181</v>
      </c>
      <c r="J363">
        <v>6</v>
      </c>
      <c r="K363">
        <v>12</v>
      </c>
      <c r="L363">
        <v>15</v>
      </c>
      <c r="M363">
        <v>9</v>
      </c>
    </row>
    <row r="364" spans="1:13" x14ac:dyDescent="0.25">
      <c r="A364">
        <v>363</v>
      </c>
      <c r="B364">
        <v>26</v>
      </c>
      <c r="C364">
        <v>4</v>
      </c>
      <c r="D364" s="2">
        <v>41939.576724537037</v>
      </c>
      <c r="E364" t="s">
        <v>179</v>
      </c>
      <c r="F364">
        <v>270</v>
      </c>
      <c r="G364" s="3">
        <v>5</v>
      </c>
      <c r="H364">
        <v>0</v>
      </c>
      <c r="I364" t="s">
        <v>182</v>
      </c>
      <c r="J364">
        <v>0</v>
      </c>
      <c r="K364">
        <v>0</v>
      </c>
      <c r="L364">
        <v>0</v>
      </c>
      <c r="M364">
        <v>0</v>
      </c>
    </row>
    <row r="365" spans="1:13" x14ac:dyDescent="0.25">
      <c r="A365">
        <v>364</v>
      </c>
      <c r="B365">
        <v>26</v>
      </c>
      <c r="C365">
        <v>30</v>
      </c>
      <c r="D365" s="2">
        <v>41921.910219907404</v>
      </c>
      <c r="E365" t="s">
        <v>179</v>
      </c>
      <c r="F365">
        <v>0</v>
      </c>
      <c r="G365" s="3">
        <v>6</v>
      </c>
      <c r="H365">
        <v>1835</v>
      </c>
      <c r="I365" t="s">
        <v>181</v>
      </c>
      <c r="J365">
        <v>7</v>
      </c>
      <c r="K365">
        <v>2</v>
      </c>
      <c r="L365">
        <v>14</v>
      </c>
      <c r="M365">
        <v>19</v>
      </c>
    </row>
    <row r="366" spans="1:13" x14ac:dyDescent="0.25">
      <c r="A366">
        <v>365</v>
      </c>
      <c r="B366">
        <v>26</v>
      </c>
      <c r="C366">
        <v>18</v>
      </c>
      <c r="D366" s="2">
        <v>41942.474733796298</v>
      </c>
      <c r="E366" t="s">
        <v>179</v>
      </c>
      <c r="F366">
        <v>180</v>
      </c>
      <c r="G366" s="3">
        <v>7</v>
      </c>
      <c r="H366">
        <v>1719</v>
      </c>
      <c r="I366" t="s">
        <v>181</v>
      </c>
      <c r="J366">
        <v>15</v>
      </c>
      <c r="K366">
        <v>15</v>
      </c>
      <c r="L366">
        <v>6</v>
      </c>
      <c r="M366">
        <v>6</v>
      </c>
    </row>
    <row r="367" spans="1:13" x14ac:dyDescent="0.25">
      <c r="A367">
        <v>366</v>
      </c>
      <c r="B367">
        <v>26</v>
      </c>
      <c r="C367">
        <v>16</v>
      </c>
      <c r="D367" s="2">
        <v>41962.777939814812</v>
      </c>
      <c r="E367" t="s">
        <v>179</v>
      </c>
      <c r="F367">
        <v>150</v>
      </c>
      <c r="G367" s="3">
        <v>8</v>
      </c>
      <c r="H367">
        <v>1781</v>
      </c>
      <c r="I367" t="s">
        <v>181</v>
      </c>
      <c r="J367">
        <v>12</v>
      </c>
      <c r="K367">
        <v>8</v>
      </c>
      <c r="L367">
        <v>9</v>
      </c>
      <c r="M367">
        <v>13</v>
      </c>
    </row>
    <row r="368" spans="1:13" x14ac:dyDescent="0.25">
      <c r="A368">
        <v>367</v>
      </c>
      <c r="B368">
        <v>26</v>
      </c>
      <c r="C368">
        <v>14</v>
      </c>
      <c r="D368" s="2">
        <v>41959.372997685183</v>
      </c>
      <c r="E368" t="s">
        <v>179</v>
      </c>
      <c r="F368">
        <v>30</v>
      </c>
      <c r="G368" s="3">
        <v>9</v>
      </c>
      <c r="H368">
        <v>1844</v>
      </c>
      <c r="I368" t="s">
        <v>181</v>
      </c>
      <c r="J368">
        <v>4</v>
      </c>
      <c r="K368">
        <v>3</v>
      </c>
      <c r="L368">
        <v>17</v>
      </c>
      <c r="M368">
        <v>18</v>
      </c>
    </row>
    <row r="369" spans="1:13" x14ac:dyDescent="0.25">
      <c r="A369">
        <v>368</v>
      </c>
      <c r="B369">
        <v>26</v>
      </c>
      <c r="C369">
        <v>25</v>
      </c>
      <c r="D369" s="2">
        <v>41980.938020833331</v>
      </c>
      <c r="E369" t="s">
        <v>179</v>
      </c>
      <c r="F369">
        <v>240</v>
      </c>
      <c r="G369" s="3">
        <v>10</v>
      </c>
      <c r="H369">
        <v>1662</v>
      </c>
      <c r="I369" t="s">
        <v>181</v>
      </c>
      <c r="J369">
        <v>20</v>
      </c>
      <c r="K369">
        <v>19</v>
      </c>
      <c r="L369">
        <v>1</v>
      </c>
      <c r="M369">
        <v>2</v>
      </c>
    </row>
    <row r="370" spans="1:13" x14ac:dyDescent="0.25">
      <c r="A370">
        <v>369</v>
      </c>
      <c r="B370">
        <v>26</v>
      </c>
      <c r="C370">
        <v>13</v>
      </c>
      <c r="D370" s="2">
        <v>41911.491412037038</v>
      </c>
      <c r="E370" t="s">
        <v>179</v>
      </c>
      <c r="F370">
        <v>90</v>
      </c>
      <c r="G370" s="3">
        <v>11</v>
      </c>
      <c r="H370">
        <v>1725</v>
      </c>
      <c r="I370" t="s">
        <v>181</v>
      </c>
      <c r="J370">
        <v>13</v>
      </c>
      <c r="K370">
        <v>7</v>
      </c>
      <c r="L370">
        <v>8</v>
      </c>
      <c r="M370">
        <v>14</v>
      </c>
    </row>
    <row r="371" spans="1:13" x14ac:dyDescent="0.25">
      <c r="A371">
        <v>370</v>
      </c>
      <c r="B371">
        <v>26</v>
      </c>
      <c r="C371">
        <v>12</v>
      </c>
      <c r="D371" s="2">
        <v>41998.055925925924</v>
      </c>
      <c r="E371" t="s">
        <v>179</v>
      </c>
      <c r="F371">
        <v>300</v>
      </c>
      <c r="G371" s="3">
        <v>12</v>
      </c>
      <c r="H371">
        <v>1787</v>
      </c>
      <c r="I371" t="s">
        <v>181</v>
      </c>
      <c r="J371">
        <v>10</v>
      </c>
      <c r="K371">
        <v>16</v>
      </c>
      <c r="L371">
        <v>11</v>
      </c>
      <c r="M371">
        <v>5</v>
      </c>
    </row>
    <row r="372" spans="1:13" x14ac:dyDescent="0.25">
      <c r="A372">
        <v>371</v>
      </c>
      <c r="B372">
        <v>26</v>
      </c>
      <c r="C372">
        <v>28</v>
      </c>
      <c r="D372" s="2">
        <v>41928.65079861111</v>
      </c>
      <c r="E372" t="s">
        <v>179</v>
      </c>
      <c r="F372">
        <v>270</v>
      </c>
      <c r="G372" s="3">
        <v>13</v>
      </c>
      <c r="H372">
        <v>1850</v>
      </c>
      <c r="I372" t="s">
        <v>181</v>
      </c>
      <c r="J372">
        <v>2</v>
      </c>
      <c r="K372">
        <v>10</v>
      </c>
      <c r="L372">
        <v>19</v>
      </c>
      <c r="M372">
        <v>11</v>
      </c>
    </row>
    <row r="373" spans="1:13" x14ac:dyDescent="0.25">
      <c r="A373">
        <v>372</v>
      </c>
      <c r="B373">
        <v>26</v>
      </c>
      <c r="C373">
        <v>22</v>
      </c>
      <c r="D373" s="2">
        <v>41949.922939814816</v>
      </c>
      <c r="E373" t="s">
        <v>179</v>
      </c>
      <c r="F373">
        <v>90</v>
      </c>
      <c r="G373" s="3">
        <v>14</v>
      </c>
      <c r="H373">
        <v>0</v>
      </c>
      <c r="I373" t="s">
        <v>180</v>
      </c>
      <c r="J373">
        <v>0</v>
      </c>
      <c r="K373">
        <v>0</v>
      </c>
      <c r="L373">
        <v>0</v>
      </c>
      <c r="M373">
        <v>0</v>
      </c>
    </row>
    <row r="374" spans="1:13" x14ac:dyDescent="0.25">
      <c r="A374">
        <v>373</v>
      </c>
      <c r="B374">
        <v>26</v>
      </c>
      <c r="C374">
        <v>19</v>
      </c>
      <c r="D374" s="2">
        <v>41980.194803240738</v>
      </c>
      <c r="E374" t="s">
        <v>179</v>
      </c>
      <c r="F374">
        <v>120</v>
      </c>
      <c r="G374" s="3">
        <v>15</v>
      </c>
      <c r="H374">
        <v>1688</v>
      </c>
      <c r="I374" t="s">
        <v>181</v>
      </c>
      <c r="J374">
        <v>17</v>
      </c>
      <c r="K374">
        <v>12</v>
      </c>
      <c r="L374">
        <v>4</v>
      </c>
      <c r="M374">
        <v>9</v>
      </c>
    </row>
    <row r="375" spans="1:13" x14ac:dyDescent="0.25">
      <c r="A375">
        <v>374</v>
      </c>
      <c r="B375">
        <v>26</v>
      </c>
      <c r="C375">
        <v>5</v>
      </c>
      <c r="D375" s="2">
        <v>41972.443113425928</v>
      </c>
      <c r="E375" t="s">
        <v>179</v>
      </c>
      <c r="F375">
        <v>300</v>
      </c>
      <c r="G375" s="3">
        <v>16</v>
      </c>
      <c r="H375">
        <v>1674</v>
      </c>
      <c r="I375" t="s">
        <v>181</v>
      </c>
      <c r="J375">
        <v>19</v>
      </c>
      <c r="K375">
        <v>20</v>
      </c>
      <c r="L375">
        <v>2</v>
      </c>
      <c r="M375">
        <v>1</v>
      </c>
    </row>
    <row r="376" spans="1:13" x14ac:dyDescent="0.25">
      <c r="A376">
        <v>375</v>
      </c>
      <c r="B376">
        <v>26</v>
      </c>
      <c r="C376">
        <v>15</v>
      </c>
      <c r="D376" s="2">
        <v>41964.744895833333</v>
      </c>
      <c r="E376" t="s">
        <v>179</v>
      </c>
      <c r="F376">
        <v>60</v>
      </c>
      <c r="G376" s="3">
        <v>17</v>
      </c>
      <c r="H376">
        <v>1724</v>
      </c>
      <c r="I376" t="s">
        <v>181</v>
      </c>
      <c r="J376">
        <v>14</v>
      </c>
      <c r="K376">
        <v>5</v>
      </c>
      <c r="L376">
        <v>7</v>
      </c>
      <c r="M376">
        <v>16</v>
      </c>
    </row>
    <row r="377" spans="1:13" x14ac:dyDescent="0.25">
      <c r="A377">
        <v>376</v>
      </c>
      <c r="B377">
        <v>26</v>
      </c>
      <c r="C377">
        <v>17</v>
      </c>
      <c r="D377" s="2">
        <v>41957.96266203704</v>
      </c>
      <c r="E377" t="s">
        <v>179</v>
      </c>
      <c r="F377">
        <v>270</v>
      </c>
      <c r="G377" s="3">
        <v>18</v>
      </c>
      <c r="H377">
        <v>1709</v>
      </c>
      <c r="I377" t="s">
        <v>181</v>
      </c>
      <c r="J377">
        <v>16</v>
      </c>
      <c r="K377">
        <v>18</v>
      </c>
      <c r="L377">
        <v>5</v>
      </c>
      <c r="M377">
        <v>3</v>
      </c>
    </row>
    <row r="378" spans="1:13" x14ac:dyDescent="0.25">
      <c r="A378">
        <v>377</v>
      </c>
      <c r="B378">
        <v>26</v>
      </c>
      <c r="C378">
        <v>29</v>
      </c>
      <c r="D378" s="2">
        <v>41949.472083333334</v>
      </c>
      <c r="E378" t="s">
        <v>179</v>
      </c>
      <c r="F378">
        <v>30</v>
      </c>
      <c r="G378" s="3">
        <v>19</v>
      </c>
      <c r="H378">
        <v>0</v>
      </c>
      <c r="I378" t="s">
        <v>182</v>
      </c>
      <c r="J378">
        <v>0</v>
      </c>
      <c r="K378">
        <v>0</v>
      </c>
      <c r="L378">
        <v>0</v>
      </c>
      <c r="M378">
        <v>0</v>
      </c>
    </row>
    <row r="379" spans="1:13" x14ac:dyDescent="0.25">
      <c r="A379">
        <v>378</v>
      </c>
      <c r="B379">
        <v>26</v>
      </c>
      <c r="C379">
        <v>3</v>
      </c>
      <c r="D379" s="2">
        <v>41937.364085648151</v>
      </c>
      <c r="E379" t="s">
        <v>179</v>
      </c>
      <c r="F379">
        <v>90</v>
      </c>
      <c r="G379" s="3">
        <v>20</v>
      </c>
      <c r="H379">
        <v>1681</v>
      </c>
      <c r="I379" t="s">
        <v>181</v>
      </c>
      <c r="J379">
        <v>18</v>
      </c>
      <c r="K379">
        <v>9</v>
      </c>
      <c r="L379">
        <v>3</v>
      </c>
      <c r="M379">
        <v>12</v>
      </c>
    </row>
    <row r="380" spans="1:13" x14ac:dyDescent="0.25">
      <c r="A380">
        <v>379</v>
      </c>
      <c r="B380">
        <v>26</v>
      </c>
      <c r="C380">
        <v>23</v>
      </c>
      <c r="D380" s="2">
        <v>41956.000358796293</v>
      </c>
      <c r="E380" t="s">
        <v>179</v>
      </c>
      <c r="F380">
        <v>180</v>
      </c>
      <c r="G380" s="3">
        <v>21</v>
      </c>
      <c r="H380">
        <v>1827</v>
      </c>
      <c r="I380" t="s">
        <v>181</v>
      </c>
      <c r="J380">
        <v>8</v>
      </c>
      <c r="K380">
        <v>6</v>
      </c>
      <c r="L380">
        <v>13</v>
      </c>
      <c r="M380">
        <v>15</v>
      </c>
    </row>
    <row r="381" spans="1:13" x14ac:dyDescent="0.25">
      <c r="A381">
        <v>380</v>
      </c>
      <c r="B381">
        <v>26</v>
      </c>
      <c r="C381">
        <v>8</v>
      </c>
      <c r="D381" s="2">
        <v>41950.885937500003</v>
      </c>
      <c r="E381" t="s">
        <v>179</v>
      </c>
      <c r="F381">
        <v>60</v>
      </c>
      <c r="G381" s="3">
        <v>22</v>
      </c>
      <c r="H381">
        <v>1794</v>
      </c>
      <c r="I381" t="s">
        <v>181</v>
      </c>
      <c r="J381">
        <v>9</v>
      </c>
      <c r="K381">
        <v>4</v>
      </c>
      <c r="L381">
        <v>12</v>
      </c>
      <c r="M381">
        <v>17</v>
      </c>
    </row>
    <row r="382" spans="1:13" x14ac:dyDescent="0.25">
      <c r="A382">
        <v>381</v>
      </c>
      <c r="B382">
        <v>27</v>
      </c>
      <c r="C382">
        <v>10</v>
      </c>
      <c r="D382" s="2">
        <v>42048.408055555556</v>
      </c>
      <c r="E382" t="s">
        <v>179</v>
      </c>
      <c r="F382">
        <v>120</v>
      </c>
      <c r="G382" s="3">
        <v>1</v>
      </c>
      <c r="H382">
        <v>1674</v>
      </c>
      <c r="I382" t="s">
        <v>181</v>
      </c>
      <c r="J382">
        <v>8</v>
      </c>
      <c r="K382">
        <v>7</v>
      </c>
      <c r="L382">
        <v>13</v>
      </c>
      <c r="M382">
        <v>14</v>
      </c>
    </row>
    <row r="383" spans="1:13" x14ac:dyDescent="0.25">
      <c r="A383">
        <v>382</v>
      </c>
      <c r="B383">
        <v>27</v>
      </c>
      <c r="C383">
        <v>6</v>
      </c>
      <c r="D383" s="2">
        <v>42044.305439814816</v>
      </c>
      <c r="E383" t="s">
        <v>179</v>
      </c>
      <c r="F383">
        <v>0</v>
      </c>
      <c r="G383" s="3">
        <v>2</v>
      </c>
      <c r="H383">
        <v>1581</v>
      </c>
      <c r="I383" t="s">
        <v>181</v>
      </c>
      <c r="J383">
        <v>18</v>
      </c>
      <c r="K383">
        <v>2</v>
      </c>
      <c r="L383">
        <v>3</v>
      </c>
      <c r="M383">
        <v>19</v>
      </c>
    </row>
    <row r="384" spans="1:13" x14ac:dyDescent="0.25">
      <c r="A384">
        <v>383</v>
      </c>
      <c r="B384">
        <v>27</v>
      </c>
      <c r="C384">
        <v>24</v>
      </c>
      <c r="D384" s="2">
        <v>42060.232499999998</v>
      </c>
      <c r="E384" t="s">
        <v>179</v>
      </c>
      <c r="F384">
        <v>150</v>
      </c>
      <c r="G384" s="3">
        <v>3</v>
      </c>
      <c r="H384">
        <v>1719</v>
      </c>
      <c r="I384" t="s">
        <v>181</v>
      </c>
      <c r="J384">
        <v>4</v>
      </c>
      <c r="K384">
        <v>4</v>
      </c>
      <c r="L384">
        <v>17</v>
      </c>
      <c r="M384">
        <v>17</v>
      </c>
    </row>
    <row r="385" spans="1:13" x14ac:dyDescent="0.25">
      <c r="A385">
        <v>384</v>
      </c>
      <c r="B385">
        <v>27</v>
      </c>
      <c r="C385">
        <v>5</v>
      </c>
      <c r="D385" s="2">
        <v>42055.159050925926</v>
      </c>
      <c r="E385" t="s">
        <v>179</v>
      </c>
      <c r="F385">
        <v>30</v>
      </c>
      <c r="G385" s="3">
        <v>4</v>
      </c>
      <c r="H385">
        <v>1688</v>
      </c>
      <c r="I385" t="s">
        <v>181</v>
      </c>
      <c r="J385">
        <v>7</v>
      </c>
      <c r="K385">
        <v>0</v>
      </c>
      <c r="L385">
        <v>14</v>
      </c>
      <c r="M385">
        <v>22</v>
      </c>
    </row>
    <row r="386" spans="1:13" x14ac:dyDescent="0.25">
      <c r="A386">
        <v>385</v>
      </c>
      <c r="B386">
        <v>27</v>
      </c>
      <c r="C386">
        <v>21</v>
      </c>
      <c r="D386" s="2">
        <v>42050.045324074075</v>
      </c>
      <c r="E386" t="s">
        <v>179</v>
      </c>
      <c r="F386">
        <v>240</v>
      </c>
      <c r="G386" s="3">
        <v>5</v>
      </c>
      <c r="H386">
        <v>0</v>
      </c>
      <c r="I386" t="s">
        <v>180</v>
      </c>
      <c r="J386">
        <v>0</v>
      </c>
      <c r="K386">
        <v>0</v>
      </c>
      <c r="L386">
        <v>0</v>
      </c>
      <c r="M386">
        <v>0</v>
      </c>
    </row>
    <row r="387" spans="1:13" x14ac:dyDescent="0.25">
      <c r="A387">
        <v>386</v>
      </c>
      <c r="B387">
        <v>27</v>
      </c>
      <c r="C387">
        <v>16</v>
      </c>
      <c r="D387" s="2">
        <v>42073.244421296295</v>
      </c>
      <c r="E387" t="s">
        <v>179</v>
      </c>
      <c r="F387">
        <v>90</v>
      </c>
      <c r="G387" s="3">
        <v>6</v>
      </c>
      <c r="H387">
        <v>1752</v>
      </c>
      <c r="I387" t="s">
        <v>181</v>
      </c>
      <c r="J387">
        <v>0</v>
      </c>
      <c r="K387">
        <v>0</v>
      </c>
      <c r="L387">
        <v>21</v>
      </c>
      <c r="M387">
        <v>23</v>
      </c>
    </row>
    <row r="388" spans="1:13" x14ac:dyDescent="0.25">
      <c r="A388">
        <v>387</v>
      </c>
      <c r="B388">
        <v>27</v>
      </c>
      <c r="C388">
        <v>30</v>
      </c>
      <c r="D388" s="2">
        <v>42064.824918981481</v>
      </c>
      <c r="E388" t="s">
        <v>179</v>
      </c>
      <c r="F388">
        <v>180</v>
      </c>
      <c r="G388" s="3">
        <v>7</v>
      </c>
      <c r="H388">
        <v>0</v>
      </c>
      <c r="I388" t="s">
        <v>182</v>
      </c>
      <c r="J388">
        <v>0</v>
      </c>
      <c r="K388">
        <v>0</v>
      </c>
      <c r="L388">
        <v>0</v>
      </c>
      <c r="M388">
        <v>0</v>
      </c>
    </row>
    <row r="389" spans="1:13" x14ac:dyDescent="0.25">
      <c r="A389">
        <v>388</v>
      </c>
      <c r="B389">
        <v>27</v>
      </c>
      <c r="C389">
        <v>31</v>
      </c>
      <c r="D389" s="2">
        <v>42014.684537037036</v>
      </c>
      <c r="E389" t="s">
        <v>179</v>
      </c>
      <c r="F389">
        <v>270</v>
      </c>
      <c r="G389" s="3">
        <v>8</v>
      </c>
      <c r="H389">
        <v>0</v>
      </c>
      <c r="I389" t="s">
        <v>182</v>
      </c>
      <c r="J389">
        <v>0</v>
      </c>
      <c r="K389">
        <v>0</v>
      </c>
      <c r="L389">
        <v>0</v>
      </c>
      <c r="M389">
        <v>0</v>
      </c>
    </row>
    <row r="390" spans="1:13" x14ac:dyDescent="0.25">
      <c r="A390">
        <v>389</v>
      </c>
      <c r="B390">
        <v>27</v>
      </c>
      <c r="C390">
        <v>3</v>
      </c>
      <c r="D390" s="2">
        <v>42013.721539351849</v>
      </c>
      <c r="E390" t="s">
        <v>179</v>
      </c>
      <c r="F390">
        <v>300</v>
      </c>
      <c r="G390" s="3">
        <v>9</v>
      </c>
      <c r="H390">
        <v>1757</v>
      </c>
      <c r="I390" t="s">
        <v>181</v>
      </c>
      <c r="J390">
        <v>0</v>
      </c>
      <c r="K390">
        <v>13</v>
      </c>
      <c r="L390">
        <v>23</v>
      </c>
      <c r="M390">
        <v>8</v>
      </c>
    </row>
    <row r="391" spans="1:13" x14ac:dyDescent="0.25">
      <c r="A391">
        <v>390</v>
      </c>
      <c r="B391">
        <v>27</v>
      </c>
      <c r="C391">
        <v>12</v>
      </c>
      <c r="D391" s="2">
        <v>42059.009641203702</v>
      </c>
      <c r="E391" t="s">
        <v>179</v>
      </c>
      <c r="F391">
        <v>270</v>
      </c>
      <c r="G391" s="3">
        <v>10</v>
      </c>
      <c r="H391">
        <v>1749</v>
      </c>
      <c r="I391" t="s">
        <v>181</v>
      </c>
      <c r="J391">
        <v>1</v>
      </c>
      <c r="K391">
        <v>11</v>
      </c>
      <c r="L391">
        <v>20</v>
      </c>
      <c r="M391">
        <v>10</v>
      </c>
    </row>
    <row r="392" spans="1:13" x14ac:dyDescent="0.25">
      <c r="A392">
        <v>391</v>
      </c>
      <c r="B392">
        <v>27</v>
      </c>
      <c r="C392">
        <v>2</v>
      </c>
      <c r="D392" s="2">
        <v>42024.576724537037</v>
      </c>
      <c r="E392" t="s">
        <v>179</v>
      </c>
      <c r="F392">
        <v>270</v>
      </c>
      <c r="G392" s="3">
        <v>11</v>
      </c>
      <c r="H392">
        <v>0</v>
      </c>
      <c r="I392" t="s">
        <v>182</v>
      </c>
      <c r="J392">
        <v>0</v>
      </c>
      <c r="K392">
        <v>0</v>
      </c>
      <c r="L392">
        <v>0</v>
      </c>
      <c r="M392">
        <v>0</v>
      </c>
    </row>
    <row r="393" spans="1:13" x14ac:dyDescent="0.25">
      <c r="A393">
        <v>392</v>
      </c>
      <c r="B393">
        <v>27</v>
      </c>
      <c r="C393">
        <v>19</v>
      </c>
      <c r="D393" s="2">
        <v>42009.910219907404</v>
      </c>
      <c r="E393" t="s">
        <v>179</v>
      </c>
      <c r="F393">
        <v>0</v>
      </c>
      <c r="G393" s="3">
        <v>12</v>
      </c>
      <c r="H393">
        <v>1747</v>
      </c>
      <c r="I393" t="s">
        <v>181</v>
      </c>
      <c r="J393">
        <v>2</v>
      </c>
      <c r="K393">
        <v>0</v>
      </c>
      <c r="L393">
        <v>19</v>
      </c>
      <c r="M393">
        <v>25</v>
      </c>
    </row>
    <row r="394" spans="1:13" x14ac:dyDescent="0.25">
      <c r="A394">
        <v>393</v>
      </c>
      <c r="B394">
        <v>27</v>
      </c>
      <c r="C394">
        <v>23</v>
      </c>
      <c r="D394" s="2">
        <v>42027.474733796298</v>
      </c>
      <c r="E394" t="s">
        <v>179</v>
      </c>
      <c r="F394">
        <v>180</v>
      </c>
      <c r="G394" s="3">
        <v>13</v>
      </c>
      <c r="H394">
        <v>1636</v>
      </c>
      <c r="I394" t="s">
        <v>181</v>
      </c>
      <c r="J394">
        <v>12</v>
      </c>
      <c r="K394">
        <v>14</v>
      </c>
      <c r="L394">
        <v>9</v>
      </c>
      <c r="M394">
        <v>7</v>
      </c>
    </row>
    <row r="395" spans="1:13" x14ac:dyDescent="0.25">
      <c r="A395">
        <v>394</v>
      </c>
      <c r="B395">
        <v>27</v>
      </c>
      <c r="C395">
        <v>9</v>
      </c>
      <c r="D395" s="2">
        <v>42046.777939814812</v>
      </c>
      <c r="E395" t="s">
        <v>179</v>
      </c>
      <c r="F395">
        <v>150</v>
      </c>
      <c r="G395" s="3">
        <v>14</v>
      </c>
      <c r="H395">
        <v>1695</v>
      </c>
      <c r="I395" t="s">
        <v>181</v>
      </c>
      <c r="J395">
        <v>6</v>
      </c>
      <c r="K395">
        <v>8</v>
      </c>
      <c r="L395">
        <v>15</v>
      </c>
      <c r="M395">
        <v>13</v>
      </c>
    </row>
    <row r="396" spans="1:13" x14ac:dyDescent="0.25">
      <c r="A396">
        <v>395</v>
      </c>
      <c r="B396">
        <v>27</v>
      </c>
      <c r="C396">
        <v>7</v>
      </c>
      <c r="D396" s="2">
        <v>42043.372997685183</v>
      </c>
      <c r="E396" t="s">
        <v>179</v>
      </c>
      <c r="F396">
        <v>30</v>
      </c>
      <c r="G396" s="3">
        <v>15</v>
      </c>
      <c r="H396">
        <v>1755</v>
      </c>
      <c r="I396" t="s">
        <v>181</v>
      </c>
      <c r="J396">
        <v>0</v>
      </c>
      <c r="K396">
        <v>0</v>
      </c>
      <c r="L396">
        <v>22</v>
      </c>
      <c r="M396">
        <v>24</v>
      </c>
    </row>
    <row r="397" spans="1:13" x14ac:dyDescent="0.25">
      <c r="A397">
        <v>396</v>
      </c>
      <c r="B397">
        <v>27</v>
      </c>
      <c r="C397">
        <v>17</v>
      </c>
      <c r="D397" s="2">
        <v>42061.938020833331</v>
      </c>
      <c r="E397" t="s">
        <v>179</v>
      </c>
      <c r="F397">
        <v>240</v>
      </c>
      <c r="G397" s="3">
        <v>16</v>
      </c>
      <c r="H397">
        <v>1582</v>
      </c>
      <c r="I397" t="s">
        <v>181</v>
      </c>
      <c r="J397">
        <v>17</v>
      </c>
      <c r="K397">
        <v>20</v>
      </c>
      <c r="L397">
        <v>4</v>
      </c>
      <c r="M397">
        <v>1</v>
      </c>
    </row>
    <row r="398" spans="1:13" x14ac:dyDescent="0.25">
      <c r="A398">
        <v>397</v>
      </c>
      <c r="B398">
        <v>27</v>
      </c>
      <c r="C398">
        <v>29</v>
      </c>
      <c r="D398" s="2">
        <v>42042.013310185182</v>
      </c>
      <c r="E398" t="s">
        <v>179</v>
      </c>
      <c r="F398">
        <v>270</v>
      </c>
      <c r="G398" s="3">
        <v>17</v>
      </c>
      <c r="H398">
        <v>1765</v>
      </c>
      <c r="I398" t="s">
        <v>181</v>
      </c>
      <c r="J398">
        <v>0</v>
      </c>
      <c r="K398">
        <v>9</v>
      </c>
      <c r="L398">
        <v>24</v>
      </c>
      <c r="M398">
        <v>12</v>
      </c>
    </row>
    <row r="399" spans="1:13" x14ac:dyDescent="0.25">
      <c r="A399">
        <v>398</v>
      </c>
      <c r="B399">
        <v>27</v>
      </c>
      <c r="C399">
        <v>26</v>
      </c>
      <c r="D399" s="2">
        <v>42039.618784722225</v>
      </c>
      <c r="E399" t="s">
        <v>179</v>
      </c>
      <c r="F399">
        <v>120</v>
      </c>
      <c r="G399" s="3">
        <v>18</v>
      </c>
      <c r="H399">
        <v>1592</v>
      </c>
      <c r="I399" t="s">
        <v>181</v>
      </c>
      <c r="J399">
        <v>16</v>
      </c>
      <c r="K399">
        <v>12</v>
      </c>
      <c r="L399">
        <v>5</v>
      </c>
      <c r="M399">
        <v>9</v>
      </c>
    </row>
    <row r="400" spans="1:13" x14ac:dyDescent="0.25">
      <c r="A400">
        <v>399</v>
      </c>
      <c r="B400">
        <v>27</v>
      </c>
      <c r="C400">
        <v>8</v>
      </c>
      <c r="D400" s="2">
        <v>42058.172696759262</v>
      </c>
      <c r="E400" t="s">
        <v>179</v>
      </c>
      <c r="F400">
        <v>90</v>
      </c>
      <c r="G400" s="3">
        <v>19</v>
      </c>
      <c r="H400">
        <v>1652</v>
      </c>
      <c r="I400" t="s">
        <v>181</v>
      </c>
      <c r="J400">
        <v>11</v>
      </c>
      <c r="K400">
        <v>6</v>
      </c>
      <c r="L400">
        <v>10</v>
      </c>
      <c r="M400">
        <v>15</v>
      </c>
    </row>
    <row r="401" spans="1:13" x14ac:dyDescent="0.25">
      <c r="A401">
        <v>400</v>
      </c>
      <c r="B401">
        <v>27</v>
      </c>
      <c r="C401">
        <v>28</v>
      </c>
      <c r="D401" s="2">
        <v>42076.487199074072</v>
      </c>
      <c r="E401" t="s">
        <v>179</v>
      </c>
      <c r="F401">
        <v>300</v>
      </c>
      <c r="G401" s="3">
        <v>20</v>
      </c>
      <c r="H401">
        <v>1711</v>
      </c>
      <c r="I401" t="s">
        <v>181</v>
      </c>
      <c r="J401">
        <v>5</v>
      </c>
      <c r="K401">
        <v>16</v>
      </c>
      <c r="L401">
        <v>16</v>
      </c>
      <c r="M401">
        <v>5</v>
      </c>
    </row>
    <row r="402" spans="1:13" x14ac:dyDescent="0.25">
      <c r="A402">
        <v>401</v>
      </c>
      <c r="B402">
        <v>27</v>
      </c>
      <c r="C402">
        <v>11</v>
      </c>
      <c r="D402" s="2">
        <v>42015.082083333335</v>
      </c>
      <c r="E402" t="s">
        <v>179</v>
      </c>
      <c r="F402">
        <v>150</v>
      </c>
      <c r="G402" s="3">
        <v>21</v>
      </c>
      <c r="H402">
        <v>1771</v>
      </c>
      <c r="I402" t="s">
        <v>181</v>
      </c>
      <c r="J402">
        <v>0</v>
      </c>
      <c r="K402">
        <v>1</v>
      </c>
      <c r="L402">
        <v>25</v>
      </c>
      <c r="M402">
        <v>20</v>
      </c>
    </row>
    <row r="403" spans="1:13" x14ac:dyDescent="0.25">
      <c r="A403">
        <v>402</v>
      </c>
      <c r="B403">
        <v>27</v>
      </c>
      <c r="C403">
        <v>22</v>
      </c>
      <c r="D403" s="2">
        <v>42012.60491898148</v>
      </c>
      <c r="E403" t="s">
        <v>179</v>
      </c>
      <c r="F403">
        <v>30</v>
      </c>
      <c r="G403" s="3">
        <v>22</v>
      </c>
      <c r="H403">
        <v>1598</v>
      </c>
      <c r="I403" t="s">
        <v>181</v>
      </c>
      <c r="J403">
        <v>15</v>
      </c>
      <c r="K403">
        <v>5</v>
      </c>
      <c r="L403">
        <v>6</v>
      </c>
      <c r="M403">
        <v>16</v>
      </c>
    </row>
    <row r="404" spans="1:13" x14ac:dyDescent="0.25">
      <c r="A404">
        <v>403</v>
      </c>
      <c r="B404">
        <v>27</v>
      </c>
      <c r="C404">
        <v>20</v>
      </c>
      <c r="D404" s="2">
        <v>42031.200671296298</v>
      </c>
      <c r="E404" t="s">
        <v>179</v>
      </c>
      <c r="F404">
        <v>300</v>
      </c>
      <c r="G404" s="3">
        <v>23</v>
      </c>
      <c r="H404">
        <v>1658</v>
      </c>
      <c r="I404" t="s">
        <v>181</v>
      </c>
      <c r="J404">
        <v>10</v>
      </c>
      <c r="K404">
        <v>18</v>
      </c>
      <c r="L404">
        <v>11</v>
      </c>
      <c r="M404">
        <v>3</v>
      </c>
    </row>
    <row r="405" spans="1:13" x14ac:dyDescent="0.25">
      <c r="A405">
        <v>404</v>
      </c>
      <c r="B405">
        <v>27</v>
      </c>
      <c r="C405">
        <v>13</v>
      </c>
      <c r="D405" s="2">
        <v>42049.764999999999</v>
      </c>
      <c r="E405" t="s">
        <v>179</v>
      </c>
      <c r="F405">
        <v>150</v>
      </c>
      <c r="G405" s="3">
        <v>24</v>
      </c>
      <c r="H405">
        <v>1547</v>
      </c>
      <c r="I405" t="s">
        <v>181</v>
      </c>
      <c r="J405">
        <v>20</v>
      </c>
      <c r="K405">
        <v>17</v>
      </c>
      <c r="L405">
        <v>1</v>
      </c>
      <c r="M405">
        <v>4</v>
      </c>
    </row>
    <row r="406" spans="1:13" x14ac:dyDescent="0.25">
      <c r="A406">
        <v>405</v>
      </c>
      <c r="B406">
        <v>27</v>
      </c>
      <c r="C406">
        <v>18</v>
      </c>
      <c r="D406" s="2">
        <v>42067.36005787037</v>
      </c>
      <c r="E406" t="s">
        <v>179</v>
      </c>
      <c r="F406">
        <v>30</v>
      </c>
      <c r="G406" s="3">
        <v>25</v>
      </c>
      <c r="H406">
        <v>1606</v>
      </c>
      <c r="I406" t="s">
        <v>181</v>
      </c>
      <c r="J406">
        <v>14</v>
      </c>
      <c r="K406">
        <v>3</v>
      </c>
      <c r="L406">
        <v>7</v>
      </c>
      <c r="M406">
        <v>18</v>
      </c>
    </row>
    <row r="407" spans="1:13" x14ac:dyDescent="0.25">
      <c r="A407">
        <v>406</v>
      </c>
      <c r="B407">
        <v>27</v>
      </c>
      <c r="C407">
        <v>4</v>
      </c>
      <c r="D407" s="2">
        <v>42065.882013888891</v>
      </c>
      <c r="E407" t="s">
        <v>179</v>
      </c>
      <c r="F407">
        <v>240</v>
      </c>
      <c r="G407" s="3">
        <v>26</v>
      </c>
      <c r="H407">
        <v>1666</v>
      </c>
      <c r="I407" t="s">
        <v>181</v>
      </c>
      <c r="J407">
        <v>9</v>
      </c>
      <c r="K407">
        <v>15</v>
      </c>
      <c r="L407">
        <v>12</v>
      </c>
      <c r="M407">
        <v>6</v>
      </c>
    </row>
    <row r="408" spans="1:13" x14ac:dyDescent="0.25">
      <c r="A408">
        <v>407</v>
      </c>
      <c r="B408">
        <v>27</v>
      </c>
      <c r="C408">
        <v>14</v>
      </c>
      <c r="D408" s="2">
        <v>42003.227083333331</v>
      </c>
      <c r="E408" t="s">
        <v>179</v>
      </c>
      <c r="F408">
        <v>90</v>
      </c>
      <c r="G408" s="3">
        <v>27</v>
      </c>
      <c r="H408">
        <v>1725</v>
      </c>
      <c r="I408" t="s">
        <v>181</v>
      </c>
      <c r="J408">
        <v>3</v>
      </c>
      <c r="K408">
        <v>0</v>
      </c>
      <c r="L408">
        <v>18</v>
      </c>
      <c r="M408">
        <v>21</v>
      </c>
    </row>
    <row r="409" spans="1:13" x14ac:dyDescent="0.25">
      <c r="A409">
        <v>408</v>
      </c>
      <c r="B409">
        <v>27</v>
      </c>
      <c r="C409">
        <v>25</v>
      </c>
      <c r="D409" s="2">
        <v>42022.792280092595</v>
      </c>
      <c r="E409" t="s">
        <v>179</v>
      </c>
      <c r="F409">
        <v>60</v>
      </c>
      <c r="G409" s="3">
        <v>28</v>
      </c>
      <c r="H409">
        <v>1553</v>
      </c>
      <c r="I409" t="s">
        <v>181</v>
      </c>
      <c r="J409">
        <v>19</v>
      </c>
      <c r="K409">
        <v>10</v>
      </c>
      <c r="L409">
        <v>2</v>
      </c>
      <c r="M409">
        <v>11</v>
      </c>
    </row>
    <row r="410" spans="1:13" x14ac:dyDescent="0.25">
      <c r="A410">
        <v>409</v>
      </c>
      <c r="B410">
        <v>27</v>
      </c>
      <c r="C410">
        <v>1</v>
      </c>
      <c r="D410" s="2">
        <v>42019.345497685186</v>
      </c>
      <c r="E410" t="s">
        <v>179</v>
      </c>
      <c r="F410">
        <v>270</v>
      </c>
      <c r="G410" s="3">
        <v>29</v>
      </c>
      <c r="H410">
        <v>1612</v>
      </c>
      <c r="I410" t="s">
        <v>181</v>
      </c>
      <c r="J410">
        <v>13</v>
      </c>
      <c r="K410">
        <v>20</v>
      </c>
      <c r="L410">
        <v>8</v>
      </c>
      <c r="M410">
        <v>1</v>
      </c>
    </row>
    <row r="411" spans="1:13" x14ac:dyDescent="0.25">
      <c r="A411">
        <v>410</v>
      </c>
      <c r="B411">
        <v>28</v>
      </c>
      <c r="C411">
        <v>27</v>
      </c>
      <c r="D411" s="2">
        <v>42081.532164351855</v>
      </c>
      <c r="E411" t="s">
        <v>179</v>
      </c>
      <c r="F411">
        <v>180</v>
      </c>
      <c r="G411" s="3">
        <v>1</v>
      </c>
      <c r="H411">
        <v>0</v>
      </c>
      <c r="I411" t="s">
        <v>180</v>
      </c>
      <c r="J411">
        <v>0</v>
      </c>
      <c r="K411">
        <v>0</v>
      </c>
      <c r="L411">
        <v>0</v>
      </c>
      <c r="M411">
        <v>0</v>
      </c>
    </row>
    <row r="412" spans="1:13" x14ac:dyDescent="0.25">
      <c r="A412">
        <v>411</v>
      </c>
      <c r="B412">
        <v>28</v>
      </c>
      <c r="C412">
        <v>25</v>
      </c>
      <c r="D412" s="2">
        <v>42084.097291666665</v>
      </c>
      <c r="E412" t="s">
        <v>179</v>
      </c>
      <c r="F412">
        <v>0</v>
      </c>
      <c r="G412" s="3">
        <v>2</v>
      </c>
      <c r="H412">
        <v>1767</v>
      </c>
      <c r="I412" t="s">
        <v>181</v>
      </c>
      <c r="J412">
        <v>15</v>
      </c>
      <c r="K412">
        <v>5</v>
      </c>
      <c r="L412">
        <v>6</v>
      </c>
      <c r="M412">
        <v>16</v>
      </c>
    </row>
    <row r="413" spans="1:13" x14ac:dyDescent="0.25">
      <c r="A413">
        <v>412</v>
      </c>
      <c r="B413">
        <v>28</v>
      </c>
      <c r="C413">
        <v>15</v>
      </c>
      <c r="D413" s="2">
        <v>42083.357418981483</v>
      </c>
      <c r="E413" t="s">
        <v>179</v>
      </c>
      <c r="F413">
        <v>180</v>
      </c>
      <c r="G413" s="3">
        <v>3</v>
      </c>
      <c r="H413">
        <v>1752</v>
      </c>
      <c r="I413" t="s">
        <v>181</v>
      </c>
      <c r="J413">
        <v>19</v>
      </c>
      <c r="K413">
        <v>16</v>
      </c>
      <c r="L413">
        <v>2</v>
      </c>
      <c r="M413">
        <v>5</v>
      </c>
    </row>
    <row r="414" spans="1:13" x14ac:dyDescent="0.25">
      <c r="A414">
        <v>413</v>
      </c>
      <c r="B414">
        <v>28</v>
      </c>
      <c r="C414">
        <v>21</v>
      </c>
      <c r="D414" s="2">
        <v>42082.616840277777</v>
      </c>
      <c r="E414" t="s">
        <v>179</v>
      </c>
      <c r="F414">
        <v>270</v>
      </c>
      <c r="G414" s="3">
        <v>4</v>
      </c>
      <c r="H414">
        <v>1805</v>
      </c>
      <c r="I414" t="s">
        <v>181</v>
      </c>
      <c r="J414">
        <v>10</v>
      </c>
      <c r="K414">
        <v>19</v>
      </c>
      <c r="L414">
        <v>11</v>
      </c>
      <c r="M414">
        <v>2</v>
      </c>
    </row>
    <row r="415" spans="1:13" x14ac:dyDescent="0.25">
      <c r="A415">
        <v>414</v>
      </c>
      <c r="B415">
        <v>28</v>
      </c>
      <c r="C415">
        <v>4</v>
      </c>
      <c r="D415" s="2">
        <v>42082.876261574071</v>
      </c>
      <c r="E415" t="s">
        <v>179</v>
      </c>
      <c r="F415">
        <v>120</v>
      </c>
      <c r="G415" s="3">
        <v>5</v>
      </c>
      <c r="H415">
        <v>0</v>
      </c>
      <c r="I415" t="s">
        <v>180</v>
      </c>
      <c r="J415">
        <v>0</v>
      </c>
      <c r="K415">
        <v>0</v>
      </c>
      <c r="L415">
        <v>0</v>
      </c>
      <c r="M415">
        <v>0</v>
      </c>
    </row>
    <row r="416" spans="1:13" x14ac:dyDescent="0.25">
      <c r="A416">
        <v>415</v>
      </c>
      <c r="B416">
        <v>28</v>
      </c>
      <c r="C416">
        <v>16</v>
      </c>
      <c r="D416" s="2">
        <v>42080.309120370373</v>
      </c>
      <c r="E416" t="s">
        <v>179</v>
      </c>
      <c r="F416">
        <v>300</v>
      </c>
      <c r="G416" s="3">
        <v>6</v>
      </c>
      <c r="H416">
        <v>1766</v>
      </c>
      <c r="I416" t="s">
        <v>181</v>
      </c>
      <c r="J416">
        <v>16</v>
      </c>
      <c r="K416">
        <v>20</v>
      </c>
      <c r="L416">
        <v>5</v>
      </c>
      <c r="M416">
        <v>1</v>
      </c>
    </row>
    <row r="417" spans="1:13" x14ac:dyDescent="0.25">
      <c r="A417">
        <v>416</v>
      </c>
      <c r="B417">
        <v>28</v>
      </c>
      <c r="C417">
        <v>26</v>
      </c>
      <c r="D417" s="2">
        <v>42085.264155092591</v>
      </c>
      <c r="E417" t="s">
        <v>179</v>
      </c>
      <c r="F417">
        <v>60</v>
      </c>
      <c r="G417" s="3">
        <v>7</v>
      </c>
      <c r="H417">
        <v>1926</v>
      </c>
      <c r="I417" t="s">
        <v>181</v>
      </c>
      <c r="J417">
        <v>0</v>
      </c>
      <c r="K417">
        <v>1</v>
      </c>
      <c r="L417">
        <v>21</v>
      </c>
      <c r="M417">
        <v>20</v>
      </c>
    </row>
    <row r="418" spans="1:13" x14ac:dyDescent="0.25">
      <c r="A418">
        <v>417</v>
      </c>
      <c r="B418">
        <v>28</v>
      </c>
      <c r="C418">
        <v>22</v>
      </c>
      <c r="D418" s="2">
        <v>42082.469189814816</v>
      </c>
      <c r="E418" t="s">
        <v>179</v>
      </c>
      <c r="F418">
        <v>120</v>
      </c>
      <c r="G418" s="3">
        <v>8</v>
      </c>
      <c r="H418">
        <v>1898</v>
      </c>
      <c r="I418" t="s">
        <v>181</v>
      </c>
      <c r="J418">
        <v>4</v>
      </c>
      <c r="K418">
        <v>3</v>
      </c>
      <c r="L418">
        <v>17</v>
      </c>
      <c r="M418">
        <v>18</v>
      </c>
    </row>
    <row r="419" spans="1:13" x14ac:dyDescent="0.25">
      <c r="A419">
        <v>418</v>
      </c>
      <c r="B419">
        <v>28</v>
      </c>
      <c r="C419">
        <v>1</v>
      </c>
      <c r="D419" s="2">
        <v>42081.381874999999</v>
      </c>
      <c r="E419" t="s">
        <v>179</v>
      </c>
      <c r="F419">
        <v>120</v>
      </c>
      <c r="G419" s="3">
        <v>9</v>
      </c>
      <c r="H419">
        <v>1801</v>
      </c>
      <c r="I419" t="s">
        <v>181</v>
      </c>
      <c r="J419">
        <v>11</v>
      </c>
      <c r="K419">
        <v>12</v>
      </c>
      <c r="L419">
        <v>10</v>
      </c>
      <c r="M419">
        <v>9</v>
      </c>
    </row>
    <row r="420" spans="1:13" x14ac:dyDescent="0.25">
      <c r="A420">
        <v>419</v>
      </c>
      <c r="B420">
        <v>28</v>
      </c>
      <c r="C420">
        <v>17</v>
      </c>
      <c r="D420" s="2">
        <v>42078.336215277777</v>
      </c>
      <c r="E420" t="s">
        <v>179</v>
      </c>
      <c r="F420">
        <v>180</v>
      </c>
      <c r="G420" s="3">
        <v>10</v>
      </c>
      <c r="H420">
        <v>1909</v>
      </c>
      <c r="I420" t="s">
        <v>181</v>
      </c>
      <c r="J420">
        <v>3</v>
      </c>
      <c r="K420">
        <v>9</v>
      </c>
      <c r="L420">
        <v>18</v>
      </c>
      <c r="M420">
        <v>12</v>
      </c>
    </row>
    <row r="421" spans="1:13" x14ac:dyDescent="0.25">
      <c r="A421">
        <v>420</v>
      </c>
      <c r="B421">
        <v>28</v>
      </c>
      <c r="C421">
        <v>29</v>
      </c>
      <c r="D421" s="2">
        <v>42079.105509259258</v>
      </c>
      <c r="E421" t="s">
        <v>179</v>
      </c>
      <c r="F421">
        <v>120</v>
      </c>
      <c r="G421" s="3">
        <v>11</v>
      </c>
      <c r="H421">
        <v>1881</v>
      </c>
      <c r="I421" t="s">
        <v>181</v>
      </c>
      <c r="J421">
        <v>6</v>
      </c>
      <c r="K421">
        <v>8</v>
      </c>
      <c r="L421">
        <v>15</v>
      </c>
      <c r="M421">
        <v>13</v>
      </c>
    </row>
    <row r="422" spans="1:13" x14ac:dyDescent="0.25">
      <c r="A422">
        <v>421</v>
      </c>
      <c r="B422">
        <v>28</v>
      </c>
      <c r="C422">
        <v>10</v>
      </c>
      <c r="D422" s="2">
        <v>42083.018379629626</v>
      </c>
      <c r="E422" t="s">
        <v>179</v>
      </c>
      <c r="F422">
        <v>180</v>
      </c>
      <c r="G422" s="3">
        <v>12</v>
      </c>
      <c r="H422">
        <v>1784</v>
      </c>
      <c r="I422" t="s">
        <v>181</v>
      </c>
      <c r="J422">
        <v>14</v>
      </c>
      <c r="K422">
        <v>14</v>
      </c>
      <c r="L422">
        <v>7</v>
      </c>
      <c r="M422">
        <v>7</v>
      </c>
    </row>
    <row r="423" spans="1:13" x14ac:dyDescent="0.25">
      <c r="A423">
        <v>422</v>
      </c>
      <c r="B423">
        <v>28</v>
      </c>
      <c r="C423">
        <v>14</v>
      </c>
      <c r="D423" s="2">
        <v>42082.973414351851</v>
      </c>
      <c r="E423" t="s">
        <v>179</v>
      </c>
      <c r="F423">
        <v>180</v>
      </c>
      <c r="G423" s="3">
        <v>13</v>
      </c>
      <c r="H423">
        <v>1756</v>
      </c>
      <c r="I423" t="s">
        <v>181</v>
      </c>
      <c r="J423">
        <v>18</v>
      </c>
      <c r="K423">
        <v>15</v>
      </c>
      <c r="L423">
        <v>3</v>
      </c>
      <c r="M423">
        <v>6</v>
      </c>
    </row>
    <row r="424" spans="1:13" x14ac:dyDescent="0.25">
      <c r="A424">
        <v>423</v>
      </c>
      <c r="B424">
        <v>28</v>
      </c>
      <c r="C424">
        <v>12</v>
      </c>
      <c r="D424" s="2">
        <v>42079.178449074076</v>
      </c>
      <c r="E424" t="s">
        <v>179</v>
      </c>
      <c r="F424">
        <v>270</v>
      </c>
      <c r="G424" s="3">
        <v>14</v>
      </c>
      <c r="H424">
        <v>1916</v>
      </c>
      <c r="I424" t="s">
        <v>181</v>
      </c>
      <c r="J424">
        <v>2</v>
      </c>
      <c r="K424">
        <v>13</v>
      </c>
      <c r="L424">
        <v>19</v>
      </c>
      <c r="M424">
        <v>8</v>
      </c>
    </row>
    <row r="425" spans="1:13" x14ac:dyDescent="0.25">
      <c r="A425">
        <v>424</v>
      </c>
      <c r="B425">
        <v>28</v>
      </c>
      <c r="C425">
        <v>31</v>
      </c>
      <c r="D425" s="2">
        <v>42084.091134259259</v>
      </c>
      <c r="E425" t="s">
        <v>179</v>
      </c>
      <c r="F425">
        <v>0</v>
      </c>
      <c r="G425" s="3">
        <v>15</v>
      </c>
      <c r="H425">
        <v>1887</v>
      </c>
      <c r="I425" t="s">
        <v>181</v>
      </c>
      <c r="J425">
        <v>5</v>
      </c>
      <c r="K425">
        <v>0</v>
      </c>
      <c r="L425">
        <v>16</v>
      </c>
      <c r="M425">
        <v>21</v>
      </c>
    </row>
    <row r="426" spans="1:13" x14ac:dyDescent="0.25">
      <c r="A426">
        <v>425</v>
      </c>
      <c r="B426">
        <v>28</v>
      </c>
      <c r="C426">
        <v>24</v>
      </c>
      <c r="D426" s="2">
        <v>42081.045474537037</v>
      </c>
      <c r="E426" t="s">
        <v>179</v>
      </c>
      <c r="F426">
        <v>0</v>
      </c>
      <c r="G426" s="3">
        <v>16</v>
      </c>
      <c r="H426">
        <v>1859</v>
      </c>
      <c r="I426" t="s">
        <v>181</v>
      </c>
      <c r="J426">
        <v>7</v>
      </c>
      <c r="K426">
        <v>2</v>
      </c>
      <c r="L426">
        <v>14</v>
      </c>
      <c r="M426">
        <v>19</v>
      </c>
    </row>
    <row r="427" spans="1:13" x14ac:dyDescent="0.25">
      <c r="A427">
        <v>426</v>
      </c>
      <c r="B427">
        <v>28</v>
      </c>
      <c r="C427">
        <v>20</v>
      </c>
      <c r="D427" s="2">
        <v>42085.250520833331</v>
      </c>
      <c r="E427" t="s">
        <v>179</v>
      </c>
      <c r="F427">
        <v>60</v>
      </c>
      <c r="G427" s="3">
        <v>17</v>
      </c>
      <c r="H427">
        <v>0</v>
      </c>
      <c r="I427" t="s">
        <v>182</v>
      </c>
      <c r="J427">
        <v>0</v>
      </c>
      <c r="K427">
        <v>0</v>
      </c>
      <c r="L427">
        <v>0</v>
      </c>
      <c r="M427">
        <v>0</v>
      </c>
    </row>
    <row r="428" spans="1:13" x14ac:dyDescent="0.25">
      <c r="A428">
        <v>427</v>
      </c>
      <c r="B428">
        <v>28</v>
      </c>
      <c r="C428">
        <v>11</v>
      </c>
      <c r="D428" s="2">
        <v>42079.841608796298</v>
      </c>
      <c r="E428" t="s">
        <v>179</v>
      </c>
      <c r="F428">
        <v>0</v>
      </c>
      <c r="G428" s="3">
        <v>18</v>
      </c>
      <c r="H428">
        <v>1764</v>
      </c>
      <c r="I428" t="s">
        <v>181</v>
      </c>
      <c r="J428">
        <v>17</v>
      </c>
      <c r="K428">
        <v>7</v>
      </c>
      <c r="L428">
        <v>4</v>
      </c>
      <c r="M428">
        <v>14</v>
      </c>
    </row>
    <row r="429" spans="1:13" x14ac:dyDescent="0.25">
      <c r="A429">
        <v>428</v>
      </c>
      <c r="B429">
        <v>28</v>
      </c>
      <c r="C429">
        <v>28</v>
      </c>
      <c r="D429" s="2">
        <v>42078.475578703707</v>
      </c>
      <c r="E429" t="s">
        <v>179</v>
      </c>
      <c r="F429">
        <v>60</v>
      </c>
      <c r="G429" s="3">
        <v>19</v>
      </c>
      <c r="H429">
        <v>1836</v>
      </c>
      <c r="I429" t="s">
        <v>181</v>
      </c>
      <c r="J429">
        <v>9</v>
      </c>
      <c r="K429">
        <v>4</v>
      </c>
      <c r="L429">
        <v>12</v>
      </c>
      <c r="M429">
        <v>17</v>
      </c>
    </row>
    <row r="430" spans="1:13" x14ac:dyDescent="0.25">
      <c r="A430">
        <v>429</v>
      </c>
      <c r="B430">
        <v>28</v>
      </c>
      <c r="C430">
        <v>13</v>
      </c>
      <c r="D430" s="2">
        <v>42083.056076388886</v>
      </c>
      <c r="E430" t="s">
        <v>179</v>
      </c>
      <c r="F430">
        <v>150</v>
      </c>
      <c r="G430" s="3">
        <v>20</v>
      </c>
      <c r="H430">
        <v>1720</v>
      </c>
      <c r="I430" t="s">
        <v>181</v>
      </c>
      <c r="J430">
        <v>20</v>
      </c>
      <c r="K430">
        <v>17</v>
      </c>
      <c r="L430">
        <v>1</v>
      </c>
      <c r="M430">
        <v>4</v>
      </c>
    </row>
    <row r="431" spans="1:13" x14ac:dyDescent="0.25">
      <c r="A431">
        <v>430</v>
      </c>
      <c r="B431">
        <v>28</v>
      </c>
      <c r="C431">
        <v>9</v>
      </c>
      <c r="D431" s="2">
        <v>42082.63726851852</v>
      </c>
      <c r="E431" t="s">
        <v>179</v>
      </c>
      <c r="F431">
        <v>240</v>
      </c>
      <c r="G431" s="3">
        <v>21</v>
      </c>
      <c r="H431">
        <v>1792</v>
      </c>
      <c r="I431" t="s">
        <v>181</v>
      </c>
      <c r="J431">
        <v>13</v>
      </c>
      <c r="K431">
        <v>18</v>
      </c>
      <c r="L431">
        <v>8</v>
      </c>
      <c r="M431">
        <v>3</v>
      </c>
    </row>
    <row r="432" spans="1:13" x14ac:dyDescent="0.25">
      <c r="A432">
        <v>431</v>
      </c>
      <c r="B432">
        <v>28</v>
      </c>
      <c r="C432">
        <v>7</v>
      </c>
      <c r="D432" s="2">
        <v>42082.520543981482</v>
      </c>
      <c r="E432" t="s">
        <v>179</v>
      </c>
      <c r="F432">
        <v>0</v>
      </c>
      <c r="G432" s="3">
        <v>22</v>
      </c>
      <c r="H432">
        <v>1933</v>
      </c>
      <c r="I432" t="s">
        <v>181</v>
      </c>
      <c r="J432">
        <v>0</v>
      </c>
      <c r="K432">
        <v>0</v>
      </c>
      <c r="L432">
        <v>22</v>
      </c>
      <c r="M432">
        <v>22</v>
      </c>
    </row>
    <row r="433" spans="1:13" x14ac:dyDescent="0.25">
      <c r="A433">
        <v>432</v>
      </c>
      <c r="B433">
        <v>28</v>
      </c>
      <c r="C433">
        <v>30</v>
      </c>
      <c r="D433" s="2">
        <v>42079.101041666669</v>
      </c>
      <c r="E433" t="s">
        <v>179</v>
      </c>
      <c r="F433">
        <v>150</v>
      </c>
      <c r="G433" s="3">
        <v>23</v>
      </c>
      <c r="H433">
        <v>0</v>
      </c>
      <c r="I433" t="s">
        <v>180</v>
      </c>
      <c r="J433">
        <v>0</v>
      </c>
      <c r="K433">
        <v>0</v>
      </c>
      <c r="L433">
        <v>0</v>
      </c>
      <c r="M433">
        <v>0</v>
      </c>
    </row>
    <row r="434" spans="1:13" x14ac:dyDescent="0.25">
      <c r="A434">
        <v>433</v>
      </c>
      <c r="B434">
        <v>28</v>
      </c>
      <c r="C434">
        <v>6</v>
      </c>
      <c r="D434" s="2">
        <v>42084.126192129632</v>
      </c>
      <c r="E434" t="s">
        <v>179</v>
      </c>
      <c r="F434">
        <v>90</v>
      </c>
      <c r="G434" s="3">
        <v>24</v>
      </c>
      <c r="H434">
        <v>1798</v>
      </c>
      <c r="I434" t="s">
        <v>181</v>
      </c>
      <c r="J434">
        <v>12</v>
      </c>
      <c r="K434">
        <v>10</v>
      </c>
      <c r="L434">
        <v>9</v>
      </c>
      <c r="M434">
        <v>11</v>
      </c>
    </row>
    <row r="435" spans="1:13" x14ac:dyDescent="0.25">
      <c r="A435">
        <v>434</v>
      </c>
      <c r="B435">
        <v>28</v>
      </c>
      <c r="C435">
        <v>8</v>
      </c>
      <c r="D435" s="2">
        <v>42081.734930555554</v>
      </c>
      <c r="E435" t="s">
        <v>179</v>
      </c>
      <c r="F435">
        <v>150</v>
      </c>
      <c r="G435" s="3">
        <v>25</v>
      </c>
      <c r="H435">
        <v>1857</v>
      </c>
      <c r="I435" t="s">
        <v>181</v>
      </c>
      <c r="J435">
        <v>8</v>
      </c>
      <c r="K435">
        <v>11</v>
      </c>
      <c r="L435">
        <v>13</v>
      </c>
      <c r="M435">
        <v>10</v>
      </c>
    </row>
    <row r="436" spans="1:13" x14ac:dyDescent="0.25">
      <c r="A436">
        <v>435</v>
      </c>
      <c r="B436">
        <v>28</v>
      </c>
      <c r="C436">
        <v>19</v>
      </c>
      <c r="D436" s="2">
        <v>42084.981180555558</v>
      </c>
      <c r="E436" t="s">
        <v>179</v>
      </c>
      <c r="F436">
        <v>150</v>
      </c>
      <c r="G436" s="3">
        <v>26</v>
      </c>
      <c r="H436">
        <v>1916</v>
      </c>
      <c r="I436" t="s">
        <v>181</v>
      </c>
      <c r="J436">
        <v>2</v>
      </c>
      <c r="K436">
        <v>6</v>
      </c>
      <c r="L436">
        <v>19</v>
      </c>
      <c r="M436">
        <v>15</v>
      </c>
    </row>
    <row r="437" spans="1:13" x14ac:dyDescent="0.25">
      <c r="A437">
        <v>436</v>
      </c>
      <c r="B437">
        <v>29</v>
      </c>
      <c r="C437">
        <v>25</v>
      </c>
      <c r="D437" s="2">
        <v>42109.461134259262</v>
      </c>
      <c r="E437" t="s">
        <v>179</v>
      </c>
      <c r="F437">
        <v>180</v>
      </c>
      <c r="G437" s="3">
        <v>1</v>
      </c>
      <c r="H437">
        <v>1571</v>
      </c>
      <c r="I437" t="s">
        <v>181</v>
      </c>
      <c r="J437">
        <v>10</v>
      </c>
      <c r="K437">
        <v>11</v>
      </c>
      <c r="L437">
        <v>11</v>
      </c>
      <c r="M437">
        <v>10</v>
      </c>
    </row>
    <row r="438" spans="1:13" x14ac:dyDescent="0.25">
      <c r="A438">
        <v>437</v>
      </c>
      <c r="B438">
        <v>29</v>
      </c>
      <c r="C438">
        <v>20</v>
      </c>
      <c r="D438" s="2">
        <v>42097.790011574078</v>
      </c>
      <c r="E438" t="s">
        <v>179</v>
      </c>
      <c r="F438">
        <v>180</v>
      </c>
      <c r="G438" s="3">
        <v>2</v>
      </c>
      <c r="H438">
        <v>0</v>
      </c>
      <c r="I438" t="s">
        <v>180</v>
      </c>
      <c r="J438">
        <v>0</v>
      </c>
      <c r="K438">
        <v>0</v>
      </c>
      <c r="L438">
        <v>0</v>
      </c>
      <c r="M438">
        <v>0</v>
      </c>
    </row>
    <row r="439" spans="1:13" x14ac:dyDescent="0.25">
      <c r="A439">
        <v>438</v>
      </c>
      <c r="B439">
        <v>29</v>
      </c>
      <c r="C439">
        <v>8</v>
      </c>
      <c r="D439" s="2">
        <v>42094.877986111111</v>
      </c>
      <c r="E439" t="s">
        <v>179</v>
      </c>
      <c r="F439">
        <v>270</v>
      </c>
      <c r="G439" s="3">
        <v>3</v>
      </c>
      <c r="H439">
        <v>1489</v>
      </c>
      <c r="I439" t="s">
        <v>181</v>
      </c>
      <c r="J439">
        <v>15</v>
      </c>
      <c r="K439">
        <v>17</v>
      </c>
      <c r="L439">
        <v>6</v>
      </c>
      <c r="M439">
        <v>4</v>
      </c>
    </row>
    <row r="440" spans="1:13" x14ac:dyDescent="0.25">
      <c r="A440">
        <v>439</v>
      </c>
      <c r="B440">
        <v>29</v>
      </c>
      <c r="C440">
        <v>11</v>
      </c>
      <c r="D440" s="2">
        <v>42101.860127314816</v>
      </c>
      <c r="E440" t="s">
        <v>179</v>
      </c>
      <c r="F440">
        <v>120</v>
      </c>
      <c r="G440" s="3">
        <v>4</v>
      </c>
      <c r="H440">
        <v>1470</v>
      </c>
      <c r="I440" t="s">
        <v>181</v>
      </c>
      <c r="J440">
        <v>17</v>
      </c>
      <c r="K440">
        <v>13</v>
      </c>
      <c r="L440">
        <v>4</v>
      </c>
      <c r="M440">
        <v>8</v>
      </c>
    </row>
    <row r="441" spans="1:13" x14ac:dyDescent="0.25">
      <c r="A441">
        <v>440</v>
      </c>
      <c r="B441">
        <v>29</v>
      </c>
      <c r="C441">
        <v>30</v>
      </c>
      <c r="D441" s="2">
        <v>42108.09175925926</v>
      </c>
      <c r="E441" t="s">
        <v>179</v>
      </c>
      <c r="F441">
        <v>90</v>
      </c>
      <c r="G441" s="3">
        <v>5</v>
      </c>
      <c r="H441">
        <v>1452</v>
      </c>
      <c r="I441" t="s">
        <v>181</v>
      </c>
      <c r="J441">
        <v>19</v>
      </c>
      <c r="K441">
        <v>12</v>
      </c>
      <c r="L441">
        <v>2</v>
      </c>
      <c r="M441">
        <v>9</v>
      </c>
    </row>
    <row r="442" spans="1:13" x14ac:dyDescent="0.25">
      <c r="A442">
        <v>441</v>
      </c>
      <c r="B442">
        <v>29</v>
      </c>
      <c r="C442">
        <v>21</v>
      </c>
      <c r="D442" s="2">
        <v>42088.366261574076</v>
      </c>
      <c r="E442" t="s">
        <v>179</v>
      </c>
      <c r="F442">
        <v>300</v>
      </c>
      <c r="G442" s="3">
        <v>6</v>
      </c>
      <c r="H442">
        <v>1434</v>
      </c>
      <c r="I442" t="s">
        <v>181</v>
      </c>
      <c r="J442">
        <v>20</v>
      </c>
      <c r="K442">
        <v>20</v>
      </c>
      <c r="L442">
        <v>1</v>
      </c>
      <c r="M442">
        <v>1</v>
      </c>
    </row>
    <row r="443" spans="1:13" x14ac:dyDescent="0.25">
      <c r="A443">
        <v>442</v>
      </c>
      <c r="B443">
        <v>29</v>
      </c>
      <c r="C443">
        <v>14</v>
      </c>
      <c r="D443" s="2">
        <v>42095.556921296295</v>
      </c>
      <c r="E443" t="s">
        <v>179</v>
      </c>
      <c r="F443">
        <v>270</v>
      </c>
      <c r="G443" s="3">
        <v>7</v>
      </c>
      <c r="H443">
        <v>1530</v>
      </c>
      <c r="I443" t="s">
        <v>181</v>
      </c>
      <c r="J443">
        <v>12</v>
      </c>
      <c r="K443">
        <v>15</v>
      </c>
      <c r="L443">
        <v>9</v>
      </c>
      <c r="M443">
        <v>6</v>
      </c>
    </row>
    <row r="444" spans="1:13" x14ac:dyDescent="0.25">
      <c r="A444">
        <v>443</v>
      </c>
      <c r="B444">
        <v>29</v>
      </c>
      <c r="C444">
        <v>6</v>
      </c>
      <c r="D444" s="2">
        <v>42090.049837962964</v>
      </c>
      <c r="E444" t="s">
        <v>179</v>
      </c>
      <c r="F444">
        <v>60</v>
      </c>
      <c r="G444" s="3">
        <v>8</v>
      </c>
      <c r="H444">
        <v>1511</v>
      </c>
      <c r="I444" t="s">
        <v>181</v>
      </c>
      <c r="J444">
        <v>13</v>
      </c>
      <c r="K444">
        <v>10</v>
      </c>
      <c r="L444">
        <v>8</v>
      </c>
      <c r="M444">
        <v>11</v>
      </c>
    </row>
    <row r="445" spans="1:13" x14ac:dyDescent="0.25">
      <c r="A445">
        <v>444</v>
      </c>
      <c r="B445">
        <v>29</v>
      </c>
      <c r="C445">
        <v>29</v>
      </c>
      <c r="D445" s="2">
        <v>42096.323831018519</v>
      </c>
      <c r="E445" t="s">
        <v>179</v>
      </c>
      <c r="F445">
        <v>300</v>
      </c>
      <c r="G445" s="3">
        <v>9</v>
      </c>
      <c r="H445">
        <v>1493</v>
      </c>
      <c r="I445" t="s">
        <v>181</v>
      </c>
      <c r="J445">
        <v>14</v>
      </c>
      <c r="K445">
        <v>19</v>
      </c>
      <c r="L445">
        <v>7</v>
      </c>
      <c r="M445">
        <v>2</v>
      </c>
    </row>
    <row r="446" spans="1:13" x14ac:dyDescent="0.25">
      <c r="A446">
        <v>445</v>
      </c>
      <c r="B446">
        <v>29</v>
      </c>
      <c r="C446">
        <v>18</v>
      </c>
      <c r="D446" s="2">
        <v>42103.514305555553</v>
      </c>
      <c r="E446" t="s">
        <v>179</v>
      </c>
      <c r="F446">
        <v>270</v>
      </c>
      <c r="G446" s="3">
        <v>10</v>
      </c>
      <c r="H446">
        <v>1474</v>
      </c>
      <c r="I446" t="s">
        <v>181</v>
      </c>
      <c r="J446">
        <v>16</v>
      </c>
      <c r="K446">
        <v>18</v>
      </c>
      <c r="L446">
        <v>5</v>
      </c>
      <c r="M446">
        <v>3</v>
      </c>
    </row>
    <row r="447" spans="1:13" x14ac:dyDescent="0.25">
      <c r="A447">
        <v>446</v>
      </c>
      <c r="B447">
        <v>29</v>
      </c>
      <c r="C447">
        <v>27</v>
      </c>
      <c r="D447" s="2">
        <v>42110.496631944443</v>
      </c>
      <c r="E447" t="s">
        <v>179</v>
      </c>
      <c r="F447">
        <v>120</v>
      </c>
      <c r="G447" s="3">
        <v>11</v>
      </c>
      <c r="H447">
        <v>1456</v>
      </c>
      <c r="I447" t="s">
        <v>181</v>
      </c>
      <c r="J447">
        <v>18</v>
      </c>
      <c r="K447">
        <v>14</v>
      </c>
      <c r="L447">
        <v>3</v>
      </c>
      <c r="M447">
        <v>7</v>
      </c>
    </row>
    <row r="448" spans="1:13" x14ac:dyDescent="0.25">
      <c r="A448">
        <v>447</v>
      </c>
      <c r="B448">
        <v>29</v>
      </c>
      <c r="C448">
        <v>7</v>
      </c>
      <c r="D448" s="2">
        <v>42090.728773148148</v>
      </c>
      <c r="E448" t="s">
        <v>179</v>
      </c>
      <c r="F448">
        <v>90</v>
      </c>
      <c r="G448" s="3">
        <v>12</v>
      </c>
      <c r="H448">
        <v>0</v>
      </c>
      <c r="I448" t="s">
        <v>182</v>
      </c>
      <c r="J448">
        <v>0</v>
      </c>
      <c r="K448">
        <v>0</v>
      </c>
      <c r="L448">
        <v>0</v>
      </c>
      <c r="M448">
        <v>0</v>
      </c>
    </row>
    <row r="449" spans="1:13" x14ac:dyDescent="0.25">
      <c r="A449">
        <v>448</v>
      </c>
      <c r="B449">
        <v>29</v>
      </c>
      <c r="C449">
        <v>15</v>
      </c>
      <c r="D449" s="2">
        <v>42086.49795138889</v>
      </c>
      <c r="E449" t="s">
        <v>179</v>
      </c>
      <c r="F449">
        <v>300</v>
      </c>
      <c r="G449" s="3">
        <v>13</v>
      </c>
      <c r="H449">
        <v>1546</v>
      </c>
      <c r="I449" t="s">
        <v>181</v>
      </c>
      <c r="J449">
        <v>11</v>
      </c>
      <c r="K449">
        <v>16</v>
      </c>
      <c r="L449">
        <v>10</v>
      </c>
      <c r="M449">
        <v>5</v>
      </c>
    </row>
    <row r="450" spans="1:13" x14ac:dyDescent="0.25">
      <c r="A450">
        <v>449</v>
      </c>
      <c r="B450">
        <v>30</v>
      </c>
      <c r="C450">
        <v>16</v>
      </c>
      <c r="D450" s="2">
        <v>42114.283495370371</v>
      </c>
      <c r="E450" t="s">
        <v>179</v>
      </c>
      <c r="F450">
        <v>60</v>
      </c>
      <c r="G450" s="3">
        <v>1</v>
      </c>
      <c r="H450">
        <v>1893</v>
      </c>
      <c r="I450" t="s">
        <v>181</v>
      </c>
      <c r="J450">
        <v>10</v>
      </c>
      <c r="K450">
        <v>6</v>
      </c>
      <c r="L450">
        <v>11</v>
      </c>
      <c r="M450">
        <v>15</v>
      </c>
    </row>
    <row r="451" spans="1:13" x14ac:dyDescent="0.25">
      <c r="A451">
        <v>450</v>
      </c>
      <c r="B451">
        <v>30</v>
      </c>
      <c r="C451">
        <v>2</v>
      </c>
      <c r="D451" s="2">
        <v>42113.501759259256</v>
      </c>
      <c r="E451" t="s">
        <v>179</v>
      </c>
      <c r="F451">
        <v>240</v>
      </c>
      <c r="G451" s="3">
        <v>2</v>
      </c>
      <c r="H451">
        <v>1946</v>
      </c>
      <c r="I451" t="s">
        <v>181</v>
      </c>
      <c r="J451">
        <v>4</v>
      </c>
      <c r="K451">
        <v>9</v>
      </c>
      <c r="L451">
        <v>17</v>
      </c>
      <c r="M451">
        <v>12</v>
      </c>
    </row>
    <row r="452" spans="1:13" x14ac:dyDescent="0.25">
      <c r="A452">
        <v>451</v>
      </c>
      <c r="B452">
        <v>30</v>
      </c>
      <c r="C452">
        <v>31</v>
      </c>
      <c r="D452" s="2">
        <v>42112.802152777775</v>
      </c>
      <c r="E452" t="s">
        <v>179</v>
      </c>
      <c r="F452">
        <v>0</v>
      </c>
      <c r="G452" s="3">
        <v>3</v>
      </c>
      <c r="H452">
        <v>1930</v>
      </c>
      <c r="I452" t="s">
        <v>181</v>
      </c>
      <c r="J452">
        <v>6</v>
      </c>
      <c r="K452">
        <v>3</v>
      </c>
      <c r="L452">
        <v>15</v>
      </c>
      <c r="M452">
        <v>18</v>
      </c>
    </row>
    <row r="453" spans="1:13" x14ac:dyDescent="0.25">
      <c r="A453">
        <v>452</v>
      </c>
      <c r="B453">
        <v>30</v>
      </c>
      <c r="C453">
        <v>11</v>
      </c>
      <c r="D453" s="2">
        <v>42112.051168981481</v>
      </c>
      <c r="E453" t="s">
        <v>179</v>
      </c>
      <c r="F453">
        <v>150</v>
      </c>
      <c r="G453" s="3">
        <v>4</v>
      </c>
      <c r="H453">
        <v>1915</v>
      </c>
      <c r="I453" t="s">
        <v>181</v>
      </c>
      <c r="J453">
        <v>9</v>
      </c>
      <c r="K453">
        <v>7</v>
      </c>
      <c r="L453">
        <v>12</v>
      </c>
      <c r="M453">
        <v>14</v>
      </c>
    </row>
    <row r="454" spans="1:13" x14ac:dyDescent="0.25">
      <c r="A454">
        <v>453</v>
      </c>
      <c r="B454">
        <v>30</v>
      </c>
      <c r="C454">
        <v>20</v>
      </c>
      <c r="D454" s="2">
        <v>42111.310590277775</v>
      </c>
      <c r="E454" t="s">
        <v>179</v>
      </c>
      <c r="F454">
        <v>270</v>
      </c>
      <c r="G454" s="3">
        <v>5</v>
      </c>
      <c r="H454">
        <v>1711</v>
      </c>
      <c r="I454" t="s">
        <v>181</v>
      </c>
      <c r="J454">
        <v>19</v>
      </c>
      <c r="K454">
        <v>20</v>
      </c>
      <c r="L454">
        <v>2</v>
      </c>
      <c r="M454">
        <v>1</v>
      </c>
    </row>
    <row r="455" spans="1:13" x14ac:dyDescent="0.25">
      <c r="A455">
        <v>454</v>
      </c>
      <c r="B455">
        <v>30</v>
      </c>
      <c r="C455">
        <v>14</v>
      </c>
      <c r="D455" s="2">
        <v>42110.570706018516</v>
      </c>
      <c r="E455" t="s">
        <v>179</v>
      </c>
      <c r="F455">
        <v>120</v>
      </c>
      <c r="G455" s="3">
        <v>6</v>
      </c>
      <c r="H455">
        <v>0</v>
      </c>
      <c r="I455" t="s">
        <v>182</v>
      </c>
      <c r="J455">
        <v>0</v>
      </c>
      <c r="K455">
        <v>0</v>
      </c>
      <c r="L455">
        <v>0</v>
      </c>
      <c r="M455">
        <v>0</v>
      </c>
    </row>
    <row r="456" spans="1:13" x14ac:dyDescent="0.25">
      <c r="A456">
        <v>455</v>
      </c>
      <c r="B456">
        <v>30</v>
      </c>
      <c r="C456">
        <v>18</v>
      </c>
      <c r="D456" s="2">
        <v>42117.004108796296</v>
      </c>
      <c r="E456" t="s">
        <v>179</v>
      </c>
      <c r="F456">
        <v>120</v>
      </c>
      <c r="G456" s="3">
        <v>7</v>
      </c>
      <c r="H456">
        <v>1770</v>
      </c>
      <c r="I456" t="s">
        <v>181</v>
      </c>
      <c r="J456">
        <v>15</v>
      </c>
      <c r="K456">
        <v>13</v>
      </c>
      <c r="L456">
        <v>6</v>
      </c>
      <c r="M456">
        <v>8</v>
      </c>
    </row>
    <row r="457" spans="1:13" x14ac:dyDescent="0.25">
      <c r="A457">
        <v>456</v>
      </c>
      <c r="B457">
        <v>30</v>
      </c>
      <c r="C457">
        <v>6</v>
      </c>
      <c r="D457" s="2">
        <v>42117.931168981479</v>
      </c>
      <c r="E457" t="s">
        <v>179</v>
      </c>
      <c r="F457">
        <v>300</v>
      </c>
      <c r="G457" s="3">
        <v>8</v>
      </c>
      <c r="H457">
        <v>1923</v>
      </c>
      <c r="I457" t="s">
        <v>181</v>
      </c>
      <c r="J457">
        <v>8</v>
      </c>
      <c r="K457">
        <v>14</v>
      </c>
      <c r="L457">
        <v>13</v>
      </c>
      <c r="M457">
        <v>7</v>
      </c>
    </row>
    <row r="458" spans="1:13" x14ac:dyDescent="0.25">
      <c r="A458">
        <v>457</v>
      </c>
      <c r="B458">
        <v>30</v>
      </c>
      <c r="C458">
        <v>23</v>
      </c>
      <c r="D458" s="2">
        <v>42110.607719907406</v>
      </c>
      <c r="E458" t="s">
        <v>179</v>
      </c>
      <c r="F458">
        <v>60</v>
      </c>
      <c r="G458" s="3">
        <v>9</v>
      </c>
      <c r="H458">
        <v>1820</v>
      </c>
      <c r="I458" t="s">
        <v>181</v>
      </c>
      <c r="J458">
        <v>12</v>
      </c>
      <c r="K458">
        <v>8</v>
      </c>
      <c r="L458">
        <v>9</v>
      </c>
      <c r="M458">
        <v>13</v>
      </c>
    </row>
    <row r="459" spans="1:13" x14ac:dyDescent="0.25">
      <c r="A459">
        <v>458</v>
      </c>
      <c r="B459">
        <v>30</v>
      </c>
      <c r="C459">
        <v>4</v>
      </c>
      <c r="D459" s="2">
        <v>42110.53565972222</v>
      </c>
      <c r="E459" t="s">
        <v>179</v>
      </c>
      <c r="F459">
        <v>270</v>
      </c>
      <c r="G459" s="3">
        <v>10</v>
      </c>
      <c r="H459">
        <v>1785</v>
      </c>
      <c r="I459" t="s">
        <v>181</v>
      </c>
      <c r="J459">
        <v>13</v>
      </c>
      <c r="K459">
        <v>17</v>
      </c>
      <c r="L459">
        <v>8</v>
      </c>
      <c r="M459">
        <v>4</v>
      </c>
    </row>
    <row r="460" spans="1:13" x14ac:dyDescent="0.25">
      <c r="A460">
        <v>459</v>
      </c>
      <c r="B460">
        <v>30</v>
      </c>
      <c r="C460">
        <v>25</v>
      </c>
      <c r="D460" s="2">
        <v>42117.421053240738</v>
      </c>
      <c r="E460" t="s">
        <v>179</v>
      </c>
      <c r="F460">
        <v>120</v>
      </c>
      <c r="G460" s="3">
        <v>11</v>
      </c>
      <c r="H460">
        <v>0</v>
      </c>
      <c r="I460" t="s">
        <v>180</v>
      </c>
      <c r="J460">
        <v>0</v>
      </c>
      <c r="K460">
        <v>0</v>
      </c>
      <c r="L460">
        <v>0</v>
      </c>
      <c r="M460">
        <v>0</v>
      </c>
    </row>
    <row r="461" spans="1:13" x14ac:dyDescent="0.25">
      <c r="A461">
        <v>460</v>
      </c>
      <c r="B461">
        <v>30</v>
      </c>
      <c r="C461">
        <v>19</v>
      </c>
      <c r="D461" s="2">
        <v>42114.882870370369</v>
      </c>
      <c r="E461" t="s">
        <v>179</v>
      </c>
      <c r="F461">
        <v>90</v>
      </c>
      <c r="G461" s="3">
        <v>12</v>
      </c>
      <c r="H461">
        <v>1938</v>
      </c>
      <c r="I461" t="s">
        <v>181</v>
      </c>
      <c r="J461">
        <v>5</v>
      </c>
      <c r="K461">
        <v>4</v>
      </c>
      <c r="L461">
        <v>16</v>
      </c>
      <c r="M461">
        <v>17</v>
      </c>
    </row>
    <row r="462" spans="1:13" x14ac:dyDescent="0.25">
      <c r="A462">
        <v>461</v>
      </c>
      <c r="B462">
        <v>30</v>
      </c>
      <c r="C462">
        <v>8</v>
      </c>
      <c r="D462" s="2">
        <v>42113.50503472222</v>
      </c>
      <c r="E462" t="s">
        <v>179</v>
      </c>
      <c r="F462">
        <v>180</v>
      </c>
      <c r="G462" s="3">
        <v>13</v>
      </c>
      <c r="H462">
        <v>1753</v>
      </c>
      <c r="I462" t="s">
        <v>181</v>
      </c>
      <c r="J462">
        <v>16</v>
      </c>
      <c r="K462">
        <v>15</v>
      </c>
      <c r="L462">
        <v>5</v>
      </c>
      <c r="M462">
        <v>6</v>
      </c>
    </row>
    <row r="463" spans="1:13" x14ac:dyDescent="0.25">
      <c r="A463">
        <v>462</v>
      </c>
      <c r="B463">
        <v>30</v>
      </c>
      <c r="C463">
        <v>12</v>
      </c>
      <c r="D463" s="2">
        <v>42110.086226851854</v>
      </c>
      <c r="E463" t="s">
        <v>179</v>
      </c>
      <c r="F463">
        <v>270</v>
      </c>
      <c r="G463" s="3">
        <v>14</v>
      </c>
      <c r="H463">
        <v>1825</v>
      </c>
      <c r="I463" t="s">
        <v>181</v>
      </c>
      <c r="J463">
        <v>11</v>
      </c>
      <c r="K463">
        <v>16</v>
      </c>
      <c r="L463">
        <v>10</v>
      </c>
      <c r="M463">
        <v>5</v>
      </c>
    </row>
    <row r="464" spans="1:13" x14ac:dyDescent="0.25">
      <c r="A464">
        <v>463</v>
      </c>
      <c r="B464">
        <v>30</v>
      </c>
      <c r="C464">
        <v>10</v>
      </c>
      <c r="D464" s="2">
        <v>42117.969490740739</v>
      </c>
      <c r="E464" t="s">
        <v>179</v>
      </c>
      <c r="F464">
        <v>30</v>
      </c>
      <c r="G464" s="3">
        <v>15</v>
      </c>
      <c r="H464">
        <v>1709</v>
      </c>
      <c r="I464" t="s">
        <v>181</v>
      </c>
      <c r="J464">
        <v>20</v>
      </c>
      <c r="K464">
        <v>11</v>
      </c>
      <c r="L464">
        <v>1</v>
      </c>
      <c r="M464">
        <v>10</v>
      </c>
    </row>
    <row r="465" spans="1:13" x14ac:dyDescent="0.25">
      <c r="A465">
        <v>464</v>
      </c>
      <c r="B465">
        <v>30</v>
      </c>
      <c r="C465">
        <v>30</v>
      </c>
      <c r="D465" s="2">
        <v>42114.551377314812</v>
      </c>
      <c r="E465" t="s">
        <v>179</v>
      </c>
      <c r="F465">
        <v>90</v>
      </c>
      <c r="G465" s="3">
        <v>16</v>
      </c>
      <c r="H465">
        <v>1782</v>
      </c>
      <c r="I465" t="s">
        <v>181</v>
      </c>
      <c r="J465">
        <v>14</v>
      </c>
      <c r="K465">
        <v>10</v>
      </c>
      <c r="L465">
        <v>7</v>
      </c>
      <c r="M465">
        <v>11</v>
      </c>
    </row>
    <row r="466" spans="1:13" x14ac:dyDescent="0.25">
      <c r="A466">
        <v>465</v>
      </c>
      <c r="B466">
        <v>30</v>
      </c>
      <c r="C466">
        <v>22</v>
      </c>
      <c r="D466" s="2">
        <v>42113.131874999999</v>
      </c>
      <c r="E466" t="s">
        <v>179</v>
      </c>
      <c r="F466">
        <v>300</v>
      </c>
      <c r="G466" s="3">
        <v>17</v>
      </c>
      <c r="H466">
        <v>0</v>
      </c>
      <c r="I466" t="s">
        <v>182</v>
      </c>
      <c r="J466">
        <v>0</v>
      </c>
      <c r="K466">
        <v>0</v>
      </c>
      <c r="L466">
        <v>0</v>
      </c>
      <c r="M466">
        <v>0</v>
      </c>
    </row>
    <row r="467" spans="1:13" x14ac:dyDescent="0.25">
      <c r="A467">
        <v>466</v>
      </c>
      <c r="B467">
        <v>30</v>
      </c>
      <c r="C467">
        <v>26</v>
      </c>
      <c r="D467" s="2">
        <v>42116.406493055554</v>
      </c>
      <c r="E467" t="s">
        <v>179</v>
      </c>
      <c r="F467">
        <v>270</v>
      </c>
      <c r="G467" s="3">
        <v>18</v>
      </c>
      <c r="H467">
        <v>1750</v>
      </c>
      <c r="I467" t="s">
        <v>181</v>
      </c>
      <c r="J467">
        <v>17</v>
      </c>
      <c r="K467">
        <v>18</v>
      </c>
      <c r="L467">
        <v>4</v>
      </c>
      <c r="M467">
        <v>3</v>
      </c>
    </row>
    <row r="468" spans="1:13" x14ac:dyDescent="0.25">
      <c r="A468">
        <v>467</v>
      </c>
      <c r="B468">
        <v>30</v>
      </c>
      <c r="C468">
        <v>5</v>
      </c>
      <c r="D468" s="2">
        <v>42110.014791666668</v>
      </c>
      <c r="E468" t="s">
        <v>179</v>
      </c>
      <c r="F468">
        <v>240</v>
      </c>
      <c r="G468" s="3">
        <v>19</v>
      </c>
      <c r="H468">
        <v>0</v>
      </c>
      <c r="I468" t="s">
        <v>182</v>
      </c>
      <c r="J468">
        <v>0</v>
      </c>
      <c r="K468">
        <v>0</v>
      </c>
      <c r="L468">
        <v>0</v>
      </c>
      <c r="M468">
        <v>0</v>
      </c>
    </row>
    <row r="469" spans="1:13" x14ac:dyDescent="0.25">
      <c r="A469">
        <v>468</v>
      </c>
      <c r="B469">
        <v>30</v>
      </c>
      <c r="C469">
        <v>15</v>
      </c>
      <c r="D469" s="2">
        <v>42115.703622685185</v>
      </c>
      <c r="E469" t="s">
        <v>179</v>
      </c>
      <c r="F469">
        <v>60</v>
      </c>
      <c r="G469" s="3">
        <v>20</v>
      </c>
      <c r="H469">
        <v>0</v>
      </c>
      <c r="I469" t="s">
        <v>182</v>
      </c>
      <c r="J469">
        <v>0</v>
      </c>
      <c r="K469">
        <v>0</v>
      </c>
      <c r="L469">
        <v>0</v>
      </c>
      <c r="M469">
        <v>0</v>
      </c>
    </row>
    <row r="470" spans="1:13" x14ac:dyDescent="0.25">
      <c r="A470">
        <v>469</v>
      </c>
      <c r="B470">
        <v>30</v>
      </c>
      <c r="C470">
        <v>24</v>
      </c>
      <c r="D470" s="2">
        <v>42116.331608796296</v>
      </c>
      <c r="E470" t="s">
        <v>179</v>
      </c>
      <c r="F470">
        <v>270</v>
      </c>
      <c r="G470" s="3">
        <v>21</v>
      </c>
      <c r="H470">
        <v>1947</v>
      </c>
      <c r="I470" t="s">
        <v>181</v>
      </c>
      <c r="J470">
        <v>3</v>
      </c>
      <c r="K470">
        <v>12</v>
      </c>
      <c r="L470">
        <v>18</v>
      </c>
      <c r="M470">
        <v>9</v>
      </c>
    </row>
    <row r="471" spans="1:13" x14ac:dyDescent="0.25">
      <c r="A471">
        <v>470</v>
      </c>
      <c r="B471">
        <v>30</v>
      </c>
      <c r="C471">
        <v>3</v>
      </c>
      <c r="D471" s="2">
        <v>42110.896111111113</v>
      </c>
      <c r="E471" t="s">
        <v>179</v>
      </c>
      <c r="F471">
        <v>120</v>
      </c>
      <c r="G471" s="3">
        <v>22</v>
      </c>
      <c r="H471">
        <v>0</v>
      </c>
      <c r="I471" t="s">
        <v>180</v>
      </c>
      <c r="J471">
        <v>0</v>
      </c>
      <c r="K471">
        <v>0</v>
      </c>
      <c r="L471">
        <v>0</v>
      </c>
      <c r="M471">
        <v>0</v>
      </c>
    </row>
    <row r="472" spans="1:13" x14ac:dyDescent="0.25">
      <c r="A472">
        <v>471</v>
      </c>
      <c r="B472">
        <v>30</v>
      </c>
      <c r="C472">
        <v>17</v>
      </c>
      <c r="D472" s="2">
        <v>42110.733136574076</v>
      </c>
      <c r="E472" t="s">
        <v>179</v>
      </c>
      <c r="F472">
        <v>90</v>
      </c>
      <c r="G472" s="3">
        <v>23</v>
      </c>
      <c r="H472">
        <v>1926</v>
      </c>
      <c r="I472" t="s">
        <v>181</v>
      </c>
      <c r="J472">
        <v>7</v>
      </c>
      <c r="K472">
        <v>5</v>
      </c>
      <c r="L472">
        <v>14</v>
      </c>
      <c r="M472">
        <v>16</v>
      </c>
    </row>
    <row r="473" spans="1:13" x14ac:dyDescent="0.25">
      <c r="A473">
        <v>472</v>
      </c>
      <c r="B473">
        <v>30</v>
      </c>
      <c r="C473">
        <v>27</v>
      </c>
      <c r="D473" s="2">
        <v>42117.992569444446</v>
      </c>
      <c r="E473" t="s">
        <v>179</v>
      </c>
      <c r="F473">
        <v>270</v>
      </c>
      <c r="G473" s="3">
        <v>24</v>
      </c>
      <c r="H473">
        <v>1722</v>
      </c>
      <c r="I473" t="s">
        <v>181</v>
      </c>
      <c r="J473">
        <v>18</v>
      </c>
      <c r="K473">
        <v>19</v>
      </c>
      <c r="L473">
        <v>3</v>
      </c>
      <c r="M473">
        <v>2</v>
      </c>
    </row>
    <row r="474" spans="1:13" x14ac:dyDescent="0.25">
      <c r="A474">
        <v>473</v>
      </c>
      <c r="B474">
        <v>31</v>
      </c>
      <c r="C474">
        <v>22</v>
      </c>
      <c r="D474" s="2">
        <v>42120.778101851851</v>
      </c>
      <c r="E474" t="s">
        <v>179</v>
      </c>
      <c r="F474">
        <v>0</v>
      </c>
      <c r="G474" s="3">
        <v>1</v>
      </c>
      <c r="H474">
        <v>1596</v>
      </c>
      <c r="I474" t="s">
        <v>181</v>
      </c>
      <c r="J474">
        <v>20</v>
      </c>
      <c r="K474">
        <v>20</v>
      </c>
      <c r="L474">
        <v>1</v>
      </c>
      <c r="M474">
        <v>1</v>
      </c>
    </row>
    <row r="475" spans="1:13" x14ac:dyDescent="0.25">
      <c r="A475">
        <v>474</v>
      </c>
      <c r="B475">
        <v>32</v>
      </c>
      <c r="C475">
        <v>3</v>
      </c>
      <c r="D475" s="2">
        <v>42131.324745370373</v>
      </c>
      <c r="E475" t="s">
        <v>179</v>
      </c>
      <c r="F475">
        <v>150</v>
      </c>
      <c r="G475" s="3">
        <v>1</v>
      </c>
      <c r="H475">
        <v>1986</v>
      </c>
      <c r="I475" t="s">
        <v>181</v>
      </c>
      <c r="J475">
        <v>18</v>
      </c>
      <c r="K475">
        <v>15</v>
      </c>
      <c r="L475">
        <v>3</v>
      </c>
      <c r="M475">
        <v>6</v>
      </c>
    </row>
    <row r="476" spans="1:13" x14ac:dyDescent="0.25">
      <c r="A476">
        <v>475</v>
      </c>
      <c r="B476">
        <v>32</v>
      </c>
      <c r="C476">
        <v>7</v>
      </c>
      <c r="D476" s="2">
        <v>42130.573067129626</v>
      </c>
      <c r="E476" t="s">
        <v>179</v>
      </c>
      <c r="F476">
        <v>30</v>
      </c>
      <c r="G476" s="3">
        <v>2</v>
      </c>
      <c r="H476">
        <v>1969</v>
      </c>
      <c r="I476" t="s">
        <v>181</v>
      </c>
      <c r="J476">
        <v>19</v>
      </c>
      <c r="K476">
        <v>9</v>
      </c>
      <c r="L476">
        <v>2</v>
      </c>
      <c r="M476">
        <v>12</v>
      </c>
    </row>
    <row r="477" spans="1:13" x14ac:dyDescent="0.25">
      <c r="A477">
        <v>476</v>
      </c>
      <c r="B477">
        <v>32</v>
      </c>
      <c r="C477">
        <v>12</v>
      </c>
      <c r="D477" s="2">
        <v>42129.874849537038</v>
      </c>
      <c r="E477" t="s">
        <v>179</v>
      </c>
      <c r="F477">
        <v>90</v>
      </c>
      <c r="G477" s="3">
        <v>3</v>
      </c>
      <c r="H477">
        <v>2027</v>
      </c>
      <c r="I477" t="s">
        <v>181</v>
      </c>
      <c r="J477">
        <v>13</v>
      </c>
      <c r="K477">
        <v>11</v>
      </c>
      <c r="L477">
        <v>8</v>
      </c>
      <c r="M477">
        <v>10</v>
      </c>
    </row>
    <row r="478" spans="1:13" x14ac:dyDescent="0.25">
      <c r="A478">
        <v>477</v>
      </c>
      <c r="B478">
        <v>32</v>
      </c>
      <c r="C478">
        <v>19</v>
      </c>
      <c r="D478" s="2">
        <v>42129.092604166668</v>
      </c>
      <c r="E478" t="s">
        <v>179</v>
      </c>
      <c r="F478">
        <v>300</v>
      </c>
      <c r="G478" s="3">
        <v>4</v>
      </c>
      <c r="H478">
        <v>2010</v>
      </c>
      <c r="I478" t="s">
        <v>181</v>
      </c>
      <c r="J478">
        <v>16</v>
      </c>
      <c r="K478">
        <v>19</v>
      </c>
      <c r="L478">
        <v>5</v>
      </c>
      <c r="M478">
        <v>2</v>
      </c>
    </row>
    <row r="479" spans="1:13" x14ac:dyDescent="0.25">
      <c r="A479">
        <v>478</v>
      </c>
      <c r="B479">
        <v>32</v>
      </c>
      <c r="C479">
        <v>2</v>
      </c>
      <c r="D479" s="2">
        <v>42128.602731481478</v>
      </c>
      <c r="E479" t="s">
        <v>179</v>
      </c>
      <c r="F479">
        <v>60</v>
      </c>
      <c r="G479" s="3">
        <v>5</v>
      </c>
      <c r="H479">
        <v>1993</v>
      </c>
      <c r="I479" t="s">
        <v>181</v>
      </c>
      <c r="J479">
        <v>17</v>
      </c>
      <c r="K479">
        <v>12</v>
      </c>
      <c r="L479">
        <v>4</v>
      </c>
      <c r="M479">
        <v>9</v>
      </c>
    </row>
    <row r="480" spans="1:13" x14ac:dyDescent="0.25">
      <c r="A480">
        <v>479</v>
      </c>
      <c r="B480">
        <v>32</v>
      </c>
      <c r="C480">
        <v>27</v>
      </c>
      <c r="D480" s="2">
        <v>42127.851041666669</v>
      </c>
      <c r="E480" t="s">
        <v>179</v>
      </c>
      <c r="F480">
        <v>240</v>
      </c>
      <c r="G480" s="3">
        <v>6</v>
      </c>
      <c r="H480">
        <v>2051</v>
      </c>
      <c r="I480" t="s">
        <v>181</v>
      </c>
      <c r="J480">
        <v>11</v>
      </c>
      <c r="K480">
        <v>17</v>
      </c>
      <c r="L480">
        <v>10</v>
      </c>
      <c r="M480">
        <v>4</v>
      </c>
    </row>
    <row r="481" spans="1:13" x14ac:dyDescent="0.25">
      <c r="A481">
        <v>480</v>
      </c>
      <c r="B481">
        <v>32</v>
      </c>
      <c r="C481">
        <v>14</v>
      </c>
      <c r="D481" s="2">
        <v>42125.152638888889</v>
      </c>
      <c r="E481" t="s">
        <v>179</v>
      </c>
      <c r="F481">
        <v>0</v>
      </c>
      <c r="G481" s="3">
        <v>7</v>
      </c>
      <c r="H481">
        <v>2034</v>
      </c>
      <c r="I481" t="s">
        <v>181</v>
      </c>
      <c r="J481">
        <v>12</v>
      </c>
      <c r="K481">
        <v>8</v>
      </c>
      <c r="L481">
        <v>9</v>
      </c>
      <c r="M481">
        <v>13</v>
      </c>
    </row>
    <row r="482" spans="1:13" x14ac:dyDescent="0.25">
      <c r="A482">
        <v>481</v>
      </c>
      <c r="B482">
        <v>32</v>
      </c>
      <c r="C482">
        <v>11</v>
      </c>
      <c r="D482" s="2">
        <v>42124.411377314813</v>
      </c>
      <c r="E482" t="s">
        <v>179</v>
      </c>
      <c r="F482">
        <v>180</v>
      </c>
      <c r="G482" s="3">
        <v>8</v>
      </c>
      <c r="H482">
        <v>2017</v>
      </c>
      <c r="I482" t="s">
        <v>181</v>
      </c>
      <c r="J482">
        <v>14</v>
      </c>
      <c r="K482">
        <v>14</v>
      </c>
      <c r="L482">
        <v>7</v>
      </c>
      <c r="M482">
        <v>7</v>
      </c>
    </row>
    <row r="483" spans="1:13" x14ac:dyDescent="0.25">
      <c r="A483">
        <v>482</v>
      </c>
      <c r="B483">
        <v>32</v>
      </c>
      <c r="C483">
        <v>23</v>
      </c>
      <c r="D483" s="2">
        <v>42131.660381944443</v>
      </c>
      <c r="E483" t="s">
        <v>179</v>
      </c>
      <c r="F483">
        <v>270</v>
      </c>
      <c r="G483" s="3">
        <v>9</v>
      </c>
      <c r="H483">
        <v>2075</v>
      </c>
      <c r="I483" t="s">
        <v>181</v>
      </c>
      <c r="J483">
        <v>8</v>
      </c>
      <c r="K483">
        <v>18</v>
      </c>
      <c r="L483">
        <v>13</v>
      </c>
      <c r="M483">
        <v>3</v>
      </c>
    </row>
    <row r="484" spans="1:13" x14ac:dyDescent="0.25">
      <c r="A484">
        <v>483</v>
      </c>
      <c r="B484">
        <v>32</v>
      </c>
      <c r="C484">
        <v>9</v>
      </c>
      <c r="D484" s="2">
        <v>42130.878148148149</v>
      </c>
      <c r="E484" t="s">
        <v>179</v>
      </c>
      <c r="F484">
        <v>120</v>
      </c>
      <c r="G484" s="3">
        <v>10</v>
      </c>
      <c r="H484">
        <v>2058</v>
      </c>
      <c r="I484" t="s">
        <v>181</v>
      </c>
      <c r="J484">
        <v>10</v>
      </c>
      <c r="K484">
        <v>10</v>
      </c>
      <c r="L484">
        <v>11</v>
      </c>
      <c r="M484">
        <v>11</v>
      </c>
    </row>
    <row r="485" spans="1:13" x14ac:dyDescent="0.25">
      <c r="A485">
        <v>484</v>
      </c>
      <c r="B485">
        <v>32</v>
      </c>
      <c r="C485">
        <v>21</v>
      </c>
      <c r="D485" s="2">
        <v>42130.137569444443</v>
      </c>
      <c r="E485" t="s">
        <v>179</v>
      </c>
      <c r="F485">
        <v>240</v>
      </c>
      <c r="G485" s="3">
        <v>11</v>
      </c>
      <c r="H485">
        <v>0</v>
      </c>
      <c r="I485" t="s">
        <v>182</v>
      </c>
      <c r="J485">
        <v>0</v>
      </c>
      <c r="K485">
        <v>0</v>
      </c>
      <c r="L485">
        <v>0</v>
      </c>
      <c r="M485">
        <v>0</v>
      </c>
    </row>
    <row r="486" spans="1:13" x14ac:dyDescent="0.25">
      <c r="A486">
        <v>485</v>
      </c>
      <c r="B486">
        <v>32</v>
      </c>
      <c r="C486">
        <v>26</v>
      </c>
      <c r="D486" s="2">
        <v>42128.683703703704</v>
      </c>
      <c r="E486" t="s">
        <v>179</v>
      </c>
      <c r="F486">
        <v>180</v>
      </c>
      <c r="G486" s="3">
        <v>12</v>
      </c>
      <c r="H486">
        <v>2012</v>
      </c>
      <c r="I486" t="s">
        <v>181</v>
      </c>
      <c r="J486">
        <v>15</v>
      </c>
      <c r="K486">
        <v>16</v>
      </c>
      <c r="L486">
        <v>6</v>
      </c>
      <c r="M486">
        <v>5</v>
      </c>
    </row>
    <row r="487" spans="1:13" x14ac:dyDescent="0.25">
      <c r="A487">
        <v>486</v>
      </c>
      <c r="B487">
        <v>32</v>
      </c>
      <c r="C487">
        <v>18</v>
      </c>
      <c r="D487" s="2">
        <v>42130.611458333333</v>
      </c>
      <c r="E487" t="s">
        <v>179</v>
      </c>
      <c r="F487">
        <v>300</v>
      </c>
      <c r="G487" s="3">
        <v>13</v>
      </c>
      <c r="H487">
        <v>1899</v>
      </c>
      <c r="I487" t="s">
        <v>181</v>
      </c>
      <c r="J487">
        <v>20</v>
      </c>
      <c r="K487">
        <v>20</v>
      </c>
      <c r="L487">
        <v>1</v>
      </c>
      <c r="M487">
        <v>1</v>
      </c>
    </row>
    <row r="488" spans="1:13" x14ac:dyDescent="0.25">
      <c r="A488">
        <v>487</v>
      </c>
      <c r="B488">
        <v>32</v>
      </c>
      <c r="C488">
        <v>25</v>
      </c>
      <c r="D488" s="2">
        <v>42129.538703703707</v>
      </c>
      <c r="E488" t="s">
        <v>179</v>
      </c>
      <c r="F488">
        <v>150</v>
      </c>
      <c r="G488" s="3">
        <v>14</v>
      </c>
      <c r="H488">
        <v>2067</v>
      </c>
      <c r="I488" t="s">
        <v>181</v>
      </c>
      <c r="J488">
        <v>9</v>
      </c>
      <c r="K488">
        <v>13</v>
      </c>
      <c r="L488">
        <v>12</v>
      </c>
      <c r="M488">
        <v>8</v>
      </c>
    </row>
    <row r="489" spans="1:13" x14ac:dyDescent="0.25">
      <c r="A489">
        <v>488</v>
      </c>
      <c r="B489">
        <v>33</v>
      </c>
      <c r="C489">
        <v>28</v>
      </c>
      <c r="D489" s="2">
        <v>42134.552164351851</v>
      </c>
      <c r="E489" t="s">
        <v>179</v>
      </c>
      <c r="F489">
        <v>60</v>
      </c>
      <c r="G489" s="3">
        <v>1</v>
      </c>
      <c r="H489">
        <v>1560</v>
      </c>
      <c r="I489" t="s">
        <v>181</v>
      </c>
      <c r="J489">
        <v>19</v>
      </c>
      <c r="K489">
        <v>15</v>
      </c>
      <c r="L489">
        <v>2</v>
      </c>
      <c r="M489">
        <v>6</v>
      </c>
    </row>
    <row r="490" spans="1:13" x14ac:dyDescent="0.25">
      <c r="A490">
        <v>489</v>
      </c>
      <c r="B490">
        <v>33</v>
      </c>
      <c r="C490">
        <v>23</v>
      </c>
      <c r="D490" s="2">
        <v>42134.479409722226</v>
      </c>
      <c r="E490" t="s">
        <v>179</v>
      </c>
      <c r="F490">
        <v>270</v>
      </c>
      <c r="G490" s="3">
        <v>2</v>
      </c>
      <c r="H490">
        <v>0</v>
      </c>
      <c r="I490" t="s">
        <v>180</v>
      </c>
      <c r="J490">
        <v>0</v>
      </c>
      <c r="K490">
        <v>0</v>
      </c>
      <c r="L490">
        <v>0</v>
      </c>
      <c r="M490">
        <v>0</v>
      </c>
    </row>
    <row r="491" spans="1:13" x14ac:dyDescent="0.25">
      <c r="A491">
        <v>490</v>
      </c>
      <c r="B491">
        <v>33</v>
      </c>
      <c r="C491">
        <v>7</v>
      </c>
      <c r="D491" s="2">
        <v>42138.69122685185</v>
      </c>
      <c r="E491" t="s">
        <v>179</v>
      </c>
      <c r="F491">
        <v>240</v>
      </c>
      <c r="G491" s="3">
        <v>3</v>
      </c>
      <c r="H491">
        <v>1698</v>
      </c>
      <c r="I491" t="s">
        <v>181</v>
      </c>
      <c r="J491">
        <v>10</v>
      </c>
      <c r="K491">
        <v>17</v>
      </c>
      <c r="L491">
        <v>11</v>
      </c>
      <c r="M491">
        <v>4</v>
      </c>
    </row>
    <row r="492" spans="1:13" x14ac:dyDescent="0.25">
      <c r="A492">
        <v>491</v>
      </c>
      <c r="B492">
        <v>33</v>
      </c>
      <c r="C492">
        <v>12</v>
      </c>
      <c r="D492" s="2">
        <v>42137.564085648148</v>
      </c>
      <c r="E492" t="s">
        <v>179</v>
      </c>
      <c r="F492">
        <v>0</v>
      </c>
      <c r="G492" s="3">
        <v>4</v>
      </c>
      <c r="H492">
        <v>1593</v>
      </c>
      <c r="I492" t="s">
        <v>181</v>
      </c>
      <c r="J492">
        <v>16</v>
      </c>
      <c r="K492">
        <v>13</v>
      </c>
      <c r="L492">
        <v>5</v>
      </c>
      <c r="M492">
        <v>8</v>
      </c>
    </row>
    <row r="493" spans="1:13" x14ac:dyDescent="0.25">
      <c r="A493">
        <v>492</v>
      </c>
      <c r="B493">
        <v>33</v>
      </c>
      <c r="C493">
        <v>26</v>
      </c>
      <c r="D493" s="2">
        <v>42134.144583333335</v>
      </c>
      <c r="E493" t="s">
        <v>179</v>
      </c>
      <c r="F493">
        <v>60</v>
      </c>
      <c r="G493" s="3">
        <v>5</v>
      </c>
      <c r="H493">
        <v>1658</v>
      </c>
      <c r="I493" t="s">
        <v>181</v>
      </c>
      <c r="J493">
        <v>12</v>
      </c>
      <c r="K493">
        <v>11</v>
      </c>
      <c r="L493">
        <v>9</v>
      </c>
      <c r="M493">
        <v>10</v>
      </c>
    </row>
    <row r="494" spans="1:13" x14ac:dyDescent="0.25">
      <c r="A494">
        <v>493</v>
      </c>
      <c r="B494">
        <v>33</v>
      </c>
      <c r="C494">
        <v>24</v>
      </c>
      <c r="D494" s="2">
        <v>42134.736192129632</v>
      </c>
      <c r="E494" t="s">
        <v>179</v>
      </c>
      <c r="F494">
        <v>150</v>
      </c>
      <c r="G494" s="3">
        <v>6</v>
      </c>
      <c r="H494">
        <v>1553</v>
      </c>
      <c r="I494" t="s">
        <v>181</v>
      </c>
      <c r="J494">
        <v>20</v>
      </c>
      <c r="K494">
        <v>19</v>
      </c>
      <c r="L494">
        <v>1</v>
      </c>
      <c r="M494">
        <v>2</v>
      </c>
    </row>
    <row r="495" spans="1:13" x14ac:dyDescent="0.25">
      <c r="A495">
        <v>494</v>
      </c>
      <c r="B495">
        <v>33</v>
      </c>
      <c r="C495">
        <v>6</v>
      </c>
      <c r="D495" s="2">
        <v>42133.359050925923</v>
      </c>
      <c r="E495" t="s">
        <v>179</v>
      </c>
      <c r="F495">
        <v>0</v>
      </c>
      <c r="G495" s="3">
        <v>7</v>
      </c>
      <c r="H495">
        <v>1619</v>
      </c>
      <c r="I495" t="s">
        <v>181</v>
      </c>
      <c r="J495">
        <v>14</v>
      </c>
      <c r="K495">
        <v>10</v>
      </c>
      <c r="L495">
        <v>7</v>
      </c>
      <c r="M495">
        <v>11</v>
      </c>
    </row>
    <row r="496" spans="1:13" x14ac:dyDescent="0.25">
      <c r="A496">
        <v>495</v>
      </c>
      <c r="B496">
        <v>33</v>
      </c>
      <c r="C496">
        <v>13</v>
      </c>
      <c r="D496" s="2">
        <v>42138.19023148148</v>
      </c>
      <c r="E496" t="s">
        <v>179</v>
      </c>
      <c r="F496">
        <v>90</v>
      </c>
      <c r="G496" s="3">
        <v>8</v>
      </c>
      <c r="H496">
        <v>1684</v>
      </c>
      <c r="I496" t="s">
        <v>181</v>
      </c>
      <c r="J496">
        <v>11</v>
      </c>
      <c r="K496">
        <v>12</v>
      </c>
      <c r="L496">
        <v>10</v>
      </c>
      <c r="M496">
        <v>9</v>
      </c>
    </row>
    <row r="497" spans="1:13" x14ac:dyDescent="0.25">
      <c r="A497">
        <v>496</v>
      </c>
      <c r="B497">
        <v>33</v>
      </c>
      <c r="C497">
        <v>3</v>
      </c>
      <c r="D497" s="2">
        <v>42137.824201388888</v>
      </c>
      <c r="E497" t="s">
        <v>179</v>
      </c>
      <c r="F497">
        <v>150</v>
      </c>
      <c r="G497" s="3">
        <v>9</v>
      </c>
      <c r="H497">
        <v>1579</v>
      </c>
      <c r="I497" t="s">
        <v>181</v>
      </c>
      <c r="J497">
        <v>18</v>
      </c>
      <c r="K497">
        <v>18</v>
      </c>
      <c r="L497">
        <v>3</v>
      </c>
      <c r="M497">
        <v>3</v>
      </c>
    </row>
    <row r="498" spans="1:13" x14ac:dyDescent="0.25">
      <c r="A498">
        <v>497</v>
      </c>
      <c r="B498">
        <v>33</v>
      </c>
      <c r="C498">
        <v>10</v>
      </c>
      <c r="D498" s="2">
        <v>42134.404699074075</v>
      </c>
      <c r="E498" t="s">
        <v>179</v>
      </c>
      <c r="F498">
        <v>270</v>
      </c>
      <c r="G498" s="3">
        <v>10</v>
      </c>
      <c r="H498">
        <v>1644</v>
      </c>
      <c r="I498" t="s">
        <v>181</v>
      </c>
      <c r="J498">
        <v>13</v>
      </c>
      <c r="K498">
        <v>20</v>
      </c>
      <c r="L498">
        <v>8</v>
      </c>
      <c r="M498">
        <v>1</v>
      </c>
    </row>
    <row r="499" spans="1:13" x14ac:dyDescent="0.25">
      <c r="A499">
        <v>498</v>
      </c>
      <c r="B499">
        <v>33</v>
      </c>
      <c r="C499">
        <v>14</v>
      </c>
      <c r="D499" s="2">
        <v>42133.985196759262</v>
      </c>
      <c r="E499" t="s">
        <v>179</v>
      </c>
      <c r="F499">
        <v>0</v>
      </c>
      <c r="G499" s="3">
        <v>11</v>
      </c>
      <c r="H499">
        <v>1771</v>
      </c>
      <c r="I499" t="s">
        <v>181</v>
      </c>
      <c r="J499">
        <v>9</v>
      </c>
      <c r="K499">
        <v>9</v>
      </c>
      <c r="L499">
        <v>12</v>
      </c>
      <c r="M499">
        <v>12</v>
      </c>
    </row>
    <row r="500" spans="1:13" x14ac:dyDescent="0.25">
      <c r="A500">
        <v>499</v>
      </c>
      <c r="B500">
        <v>33</v>
      </c>
      <c r="C500">
        <v>31</v>
      </c>
      <c r="D500" s="2">
        <v>42132.619166666664</v>
      </c>
      <c r="E500" t="s">
        <v>179</v>
      </c>
      <c r="F500">
        <v>90</v>
      </c>
      <c r="G500" s="3">
        <v>12</v>
      </c>
      <c r="H500">
        <v>1605</v>
      </c>
      <c r="I500" t="s">
        <v>181</v>
      </c>
      <c r="J500">
        <v>15</v>
      </c>
      <c r="K500">
        <v>14</v>
      </c>
      <c r="L500">
        <v>6</v>
      </c>
      <c r="M500">
        <v>7</v>
      </c>
    </row>
    <row r="501" spans="1:13" x14ac:dyDescent="0.25">
      <c r="A501">
        <v>500</v>
      </c>
      <c r="B501">
        <v>33</v>
      </c>
      <c r="C501">
        <v>27</v>
      </c>
      <c r="D501" s="2">
        <v>42137.449664351851</v>
      </c>
      <c r="E501" t="s">
        <v>179</v>
      </c>
      <c r="F501">
        <v>150</v>
      </c>
      <c r="G501" s="3">
        <v>13</v>
      </c>
      <c r="H501">
        <v>0</v>
      </c>
      <c r="I501" t="s">
        <v>182</v>
      </c>
      <c r="J501">
        <v>0</v>
      </c>
      <c r="K501">
        <v>0</v>
      </c>
      <c r="L501">
        <v>0</v>
      </c>
      <c r="M501">
        <v>0</v>
      </c>
    </row>
    <row r="502" spans="1:13" x14ac:dyDescent="0.25">
      <c r="A502">
        <v>501</v>
      </c>
      <c r="B502">
        <v>33</v>
      </c>
      <c r="C502">
        <v>16</v>
      </c>
      <c r="D502" s="2">
        <v>42137.669432870367</v>
      </c>
      <c r="E502" t="s">
        <v>179</v>
      </c>
      <c r="F502">
        <v>120</v>
      </c>
      <c r="G502" s="3">
        <v>14</v>
      </c>
      <c r="H502">
        <v>1582</v>
      </c>
      <c r="I502" t="s">
        <v>181</v>
      </c>
      <c r="J502">
        <v>17</v>
      </c>
      <c r="K502">
        <v>16</v>
      </c>
      <c r="L502">
        <v>4</v>
      </c>
      <c r="M502">
        <v>5</v>
      </c>
    </row>
    <row r="503" spans="1:13" x14ac:dyDescent="0.25">
      <c r="A503">
        <v>502</v>
      </c>
      <c r="B503">
        <v>34</v>
      </c>
      <c r="C503">
        <v>9</v>
      </c>
      <c r="D503" s="2">
        <v>42140.245949074073</v>
      </c>
      <c r="E503" t="s">
        <v>179</v>
      </c>
      <c r="F503">
        <v>180</v>
      </c>
      <c r="G503" s="3">
        <v>1</v>
      </c>
      <c r="H503">
        <v>1795</v>
      </c>
      <c r="I503" t="s">
        <v>181</v>
      </c>
      <c r="J503">
        <v>20</v>
      </c>
      <c r="K503">
        <v>20</v>
      </c>
      <c r="L503">
        <v>1</v>
      </c>
      <c r="M503">
        <v>1</v>
      </c>
    </row>
    <row r="504" spans="1:13" x14ac:dyDescent="0.25">
      <c r="A504">
        <v>503</v>
      </c>
      <c r="B504">
        <v>34</v>
      </c>
      <c r="C504">
        <v>22</v>
      </c>
      <c r="D504" s="2">
        <v>42142.145902777775</v>
      </c>
      <c r="E504" t="s">
        <v>179</v>
      </c>
      <c r="F504">
        <v>150</v>
      </c>
      <c r="G504" s="3">
        <v>2</v>
      </c>
      <c r="H504">
        <v>1942</v>
      </c>
      <c r="I504" t="s">
        <v>181</v>
      </c>
      <c r="J504">
        <v>19</v>
      </c>
      <c r="K504">
        <v>19</v>
      </c>
      <c r="L504">
        <v>2</v>
      </c>
      <c r="M504">
        <v>2</v>
      </c>
    </row>
    <row r="505" spans="1:13" x14ac:dyDescent="0.25">
      <c r="A505">
        <v>504</v>
      </c>
      <c r="B505">
        <v>35</v>
      </c>
      <c r="C505">
        <v>18</v>
      </c>
      <c r="D505" s="2">
        <v>42145.692546296297</v>
      </c>
      <c r="E505" t="s">
        <v>179</v>
      </c>
      <c r="F505">
        <v>0</v>
      </c>
      <c r="G505" s="3">
        <v>1</v>
      </c>
      <c r="H505">
        <v>3307</v>
      </c>
      <c r="I505" t="s">
        <v>181</v>
      </c>
      <c r="J505">
        <v>19</v>
      </c>
      <c r="K505">
        <v>13</v>
      </c>
      <c r="L505">
        <v>2</v>
      </c>
      <c r="M505">
        <v>8</v>
      </c>
    </row>
    <row r="506" spans="1:13" x14ac:dyDescent="0.25">
      <c r="A506">
        <v>505</v>
      </c>
      <c r="B506">
        <v>35</v>
      </c>
      <c r="C506">
        <v>24</v>
      </c>
      <c r="D506" s="2">
        <v>42147.550844907404</v>
      </c>
      <c r="E506" t="s">
        <v>179</v>
      </c>
      <c r="F506">
        <v>300</v>
      </c>
      <c r="G506" s="3">
        <v>2</v>
      </c>
      <c r="H506">
        <v>3588</v>
      </c>
      <c r="I506" t="s">
        <v>181</v>
      </c>
      <c r="J506">
        <v>10</v>
      </c>
      <c r="K506">
        <v>16</v>
      </c>
      <c r="L506">
        <v>11</v>
      </c>
      <c r="M506">
        <v>5</v>
      </c>
    </row>
    <row r="507" spans="1:13" x14ac:dyDescent="0.25">
      <c r="A507">
        <v>506</v>
      </c>
      <c r="B507">
        <v>35</v>
      </c>
      <c r="C507">
        <v>30</v>
      </c>
      <c r="D507" s="2">
        <v>42152.450983796298</v>
      </c>
      <c r="E507" t="s">
        <v>179</v>
      </c>
      <c r="F507">
        <v>270</v>
      </c>
      <c r="G507" s="3">
        <v>3</v>
      </c>
      <c r="H507">
        <v>3378</v>
      </c>
      <c r="I507" t="s">
        <v>181</v>
      </c>
      <c r="J507">
        <v>15</v>
      </c>
      <c r="K507">
        <v>20</v>
      </c>
      <c r="L507">
        <v>6</v>
      </c>
      <c r="M507">
        <v>1</v>
      </c>
    </row>
    <row r="508" spans="1:13" x14ac:dyDescent="0.25">
      <c r="A508">
        <v>507</v>
      </c>
      <c r="B508">
        <v>35</v>
      </c>
      <c r="C508">
        <v>17</v>
      </c>
      <c r="D508" s="2">
        <v>42146.059270833335</v>
      </c>
      <c r="E508" t="s">
        <v>179</v>
      </c>
      <c r="F508">
        <v>270</v>
      </c>
      <c r="G508" s="3">
        <v>4</v>
      </c>
      <c r="H508">
        <v>0</v>
      </c>
      <c r="I508" t="s">
        <v>182</v>
      </c>
      <c r="J508">
        <v>0</v>
      </c>
      <c r="K508">
        <v>0</v>
      </c>
      <c r="L508">
        <v>0</v>
      </c>
      <c r="M508">
        <v>0</v>
      </c>
    </row>
    <row r="509" spans="1:13" x14ac:dyDescent="0.25">
      <c r="A509">
        <v>508</v>
      </c>
      <c r="B509">
        <v>35</v>
      </c>
      <c r="C509">
        <v>25</v>
      </c>
      <c r="D509" s="2">
        <v>42151.748113425929</v>
      </c>
      <c r="E509" t="s">
        <v>179</v>
      </c>
      <c r="F509">
        <v>90</v>
      </c>
      <c r="G509" s="3">
        <v>5</v>
      </c>
      <c r="H509">
        <v>3717</v>
      </c>
      <c r="I509" t="s">
        <v>181</v>
      </c>
      <c r="J509">
        <v>7</v>
      </c>
      <c r="K509">
        <v>7</v>
      </c>
      <c r="L509">
        <v>14</v>
      </c>
      <c r="M509">
        <v>14</v>
      </c>
    </row>
    <row r="510" spans="1:13" x14ac:dyDescent="0.25">
      <c r="A510">
        <v>509</v>
      </c>
      <c r="B510">
        <v>35</v>
      </c>
      <c r="C510">
        <v>27</v>
      </c>
      <c r="D510" s="2">
        <v>42148.024224537039</v>
      </c>
      <c r="E510" t="s">
        <v>179</v>
      </c>
      <c r="F510">
        <v>150</v>
      </c>
      <c r="G510" s="3">
        <v>6</v>
      </c>
      <c r="H510">
        <v>3340</v>
      </c>
      <c r="I510" t="s">
        <v>181</v>
      </c>
      <c r="J510">
        <v>16</v>
      </c>
      <c r="K510">
        <v>18</v>
      </c>
      <c r="L510">
        <v>5</v>
      </c>
      <c r="M510">
        <v>3</v>
      </c>
    </row>
    <row r="511" spans="1:13" x14ac:dyDescent="0.25">
      <c r="A511">
        <v>510</v>
      </c>
      <c r="B511">
        <v>35</v>
      </c>
      <c r="C511">
        <v>10</v>
      </c>
      <c r="D511" s="2">
        <v>42152.561435185184</v>
      </c>
      <c r="E511" t="s">
        <v>179</v>
      </c>
      <c r="F511">
        <v>120</v>
      </c>
      <c r="G511" s="3">
        <v>7</v>
      </c>
      <c r="H511">
        <v>3323</v>
      </c>
      <c r="I511" t="s">
        <v>181</v>
      </c>
      <c r="J511">
        <v>17</v>
      </c>
      <c r="K511">
        <v>17</v>
      </c>
      <c r="L511">
        <v>4</v>
      </c>
      <c r="M511">
        <v>4</v>
      </c>
    </row>
    <row r="512" spans="1:13" x14ac:dyDescent="0.25">
      <c r="A512">
        <v>511</v>
      </c>
      <c r="B512">
        <v>35</v>
      </c>
      <c r="C512">
        <v>19</v>
      </c>
      <c r="D512" s="2">
        <v>42147.847962962966</v>
      </c>
      <c r="E512" t="s">
        <v>179</v>
      </c>
      <c r="F512">
        <v>90</v>
      </c>
      <c r="G512" s="3">
        <v>8</v>
      </c>
      <c r="H512">
        <v>3436</v>
      </c>
      <c r="I512" t="s">
        <v>181</v>
      </c>
      <c r="J512">
        <v>12</v>
      </c>
      <c r="K512">
        <v>12</v>
      </c>
      <c r="L512">
        <v>9</v>
      </c>
      <c r="M512">
        <v>9</v>
      </c>
    </row>
    <row r="513" spans="1:13" x14ac:dyDescent="0.25">
      <c r="A513">
        <v>512</v>
      </c>
      <c r="B513">
        <v>35</v>
      </c>
      <c r="C513">
        <v>26</v>
      </c>
      <c r="D513" s="2">
        <v>42147.937638888892</v>
      </c>
      <c r="E513" t="s">
        <v>179</v>
      </c>
      <c r="F513">
        <v>30</v>
      </c>
      <c r="G513" s="3">
        <v>9</v>
      </c>
      <c r="H513">
        <v>3319</v>
      </c>
      <c r="I513" t="s">
        <v>181</v>
      </c>
      <c r="J513">
        <v>18</v>
      </c>
      <c r="K513">
        <v>15</v>
      </c>
      <c r="L513">
        <v>3</v>
      </c>
      <c r="M513">
        <v>6</v>
      </c>
    </row>
    <row r="514" spans="1:13" x14ac:dyDescent="0.25">
      <c r="A514">
        <v>513</v>
      </c>
      <c r="B514">
        <v>35</v>
      </c>
      <c r="C514">
        <v>5</v>
      </c>
      <c r="D514" s="2">
        <v>42152.183379629627</v>
      </c>
      <c r="E514" t="s">
        <v>179</v>
      </c>
      <c r="F514">
        <v>0</v>
      </c>
      <c r="G514" s="3">
        <v>10</v>
      </c>
      <c r="H514">
        <v>3302</v>
      </c>
      <c r="I514" t="s">
        <v>181</v>
      </c>
      <c r="J514">
        <v>20</v>
      </c>
      <c r="K514">
        <v>14</v>
      </c>
      <c r="L514">
        <v>1</v>
      </c>
      <c r="M514">
        <v>7</v>
      </c>
    </row>
    <row r="515" spans="1:13" x14ac:dyDescent="0.25">
      <c r="A515">
        <v>514</v>
      </c>
      <c r="B515">
        <v>35</v>
      </c>
      <c r="C515">
        <v>9</v>
      </c>
      <c r="D515" s="2">
        <v>42149.751157407409</v>
      </c>
      <c r="E515" t="s">
        <v>179</v>
      </c>
      <c r="F515">
        <v>0</v>
      </c>
      <c r="G515" s="3">
        <v>11</v>
      </c>
      <c r="H515">
        <v>3416</v>
      </c>
      <c r="I515" t="s">
        <v>181</v>
      </c>
      <c r="J515">
        <v>13</v>
      </c>
      <c r="K515">
        <v>11</v>
      </c>
      <c r="L515">
        <v>8</v>
      </c>
      <c r="M515">
        <v>10</v>
      </c>
    </row>
    <row r="516" spans="1:13" x14ac:dyDescent="0.25">
      <c r="A516">
        <v>515</v>
      </c>
      <c r="B516">
        <v>35</v>
      </c>
      <c r="C516">
        <v>7</v>
      </c>
      <c r="D516" s="2">
        <v>42145.03837962963</v>
      </c>
      <c r="E516" t="s">
        <v>179</v>
      </c>
      <c r="F516">
        <v>60</v>
      </c>
      <c r="G516" s="3">
        <v>12</v>
      </c>
      <c r="H516">
        <v>3529</v>
      </c>
      <c r="I516" t="s">
        <v>181</v>
      </c>
      <c r="J516">
        <v>11</v>
      </c>
      <c r="K516">
        <v>10</v>
      </c>
      <c r="L516">
        <v>10</v>
      </c>
      <c r="M516">
        <v>11</v>
      </c>
    </row>
    <row r="517" spans="1:13" x14ac:dyDescent="0.25">
      <c r="A517">
        <v>516</v>
      </c>
      <c r="B517">
        <v>35</v>
      </c>
      <c r="C517">
        <v>29</v>
      </c>
      <c r="D517" s="2">
        <v>42150.575601851851</v>
      </c>
      <c r="E517" t="s">
        <v>179</v>
      </c>
      <c r="F517">
        <v>30</v>
      </c>
      <c r="G517" s="3">
        <v>13</v>
      </c>
      <c r="H517">
        <v>3642</v>
      </c>
      <c r="I517" t="s">
        <v>181</v>
      </c>
      <c r="J517">
        <v>8</v>
      </c>
      <c r="K517">
        <v>9</v>
      </c>
      <c r="L517">
        <v>13</v>
      </c>
      <c r="M517">
        <v>12</v>
      </c>
    </row>
    <row r="518" spans="1:13" x14ac:dyDescent="0.25">
      <c r="A518">
        <v>517</v>
      </c>
      <c r="B518">
        <v>35</v>
      </c>
      <c r="C518">
        <v>23</v>
      </c>
      <c r="D518" s="2">
        <v>42152.85119212963</v>
      </c>
      <c r="E518" t="s">
        <v>179</v>
      </c>
      <c r="F518">
        <v>0</v>
      </c>
      <c r="G518" s="3">
        <v>14</v>
      </c>
      <c r="H518">
        <v>3625</v>
      </c>
      <c r="I518" t="s">
        <v>181</v>
      </c>
      <c r="J518">
        <v>9</v>
      </c>
      <c r="K518">
        <v>8</v>
      </c>
      <c r="L518">
        <v>12</v>
      </c>
      <c r="M518">
        <v>13</v>
      </c>
    </row>
    <row r="519" spans="1:13" x14ac:dyDescent="0.25">
      <c r="A519">
        <v>518</v>
      </c>
      <c r="B519">
        <v>35</v>
      </c>
      <c r="C519">
        <v>22</v>
      </c>
      <c r="D519" s="2">
        <v>42149.138414351852</v>
      </c>
      <c r="E519" t="s">
        <v>179</v>
      </c>
      <c r="F519">
        <v>60</v>
      </c>
      <c r="G519" s="3">
        <v>15</v>
      </c>
      <c r="H519">
        <v>0</v>
      </c>
      <c r="I519" t="s">
        <v>180</v>
      </c>
      <c r="J519">
        <v>0</v>
      </c>
      <c r="K519">
        <v>0</v>
      </c>
      <c r="L519">
        <v>0</v>
      </c>
      <c r="M519">
        <v>0</v>
      </c>
    </row>
    <row r="520" spans="1:13" x14ac:dyDescent="0.25">
      <c r="A520">
        <v>519</v>
      </c>
      <c r="B520">
        <v>35</v>
      </c>
      <c r="C520">
        <v>20</v>
      </c>
      <c r="D520" s="2">
        <v>42145.96297453704</v>
      </c>
      <c r="E520" t="s">
        <v>179</v>
      </c>
      <c r="F520">
        <v>300</v>
      </c>
      <c r="G520" s="3">
        <v>16</v>
      </c>
      <c r="H520">
        <v>3414</v>
      </c>
      <c r="I520" t="s">
        <v>181</v>
      </c>
      <c r="J520">
        <v>14</v>
      </c>
      <c r="K520">
        <v>19</v>
      </c>
      <c r="L520">
        <v>7</v>
      </c>
      <c r="M520">
        <v>2</v>
      </c>
    </row>
    <row r="521" spans="1:13" x14ac:dyDescent="0.25">
      <c r="A521">
        <v>520</v>
      </c>
      <c r="B521">
        <v>36</v>
      </c>
      <c r="C521">
        <v>3</v>
      </c>
      <c r="D521" s="2">
        <v>42155.802893518521</v>
      </c>
      <c r="E521" t="s">
        <v>179</v>
      </c>
      <c r="F521">
        <v>240</v>
      </c>
      <c r="G521" s="3">
        <v>1</v>
      </c>
      <c r="H521">
        <v>1435</v>
      </c>
      <c r="I521" t="s">
        <v>181</v>
      </c>
      <c r="J521">
        <v>4</v>
      </c>
      <c r="K521">
        <v>14</v>
      </c>
      <c r="L521">
        <v>17</v>
      </c>
      <c r="M521">
        <v>7</v>
      </c>
    </row>
    <row r="522" spans="1:13" x14ac:dyDescent="0.25">
      <c r="A522">
        <v>521</v>
      </c>
      <c r="B522">
        <v>36</v>
      </c>
      <c r="C522">
        <v>12</v>
      </c>
      <c r="D522" s="2">
        <v>42157.07739583333</v>
      </c>
      <c r="E522" t="s">
        <v>179</v>
      </c>
      <c r="F522">
        <v>180</v>
      </c>
      <c r="G522" s="3">
        <v>2</v>
      </c>
      <c r="H522">
        <v>0</v>
      </c>
      <c r="I522" t="s">
        <v>182</v>
      </c>
      <c r="J522">
        <v>0</v>
      </c>
      <c r="K522">
        <v>0</v>
      </c>
      <c r="L522">
        <v>0</v>
      </c>
      <c r="M522">
        <v>0</v>
      </c>
    </row>
    <row r="523" spans="1:13" x14ac:dyDescent="0.25">
      <c r="A523">
        <v>522</v>
      </c>
      <c r="B523">
        <v>36</v>
      </c>
      <c r="C523">
        <v>6</v>
      </c>
      <c r="D523" s="2">
        <v>42156.137094907404</v>
      </c>
      <c r="E523" t="s">
        <v>179</v>
      </c>
      <c r="F523">
        <v>0</v>
      </c>
      <c r="G523" s="3">
        <v>3</v>
      </c>
      <c r="H523">
        <v>1388</v>
      </c>
      <c r="I523" t="s">
        <v>181</v>
      </c>
      <c r="J523">
        <v>14</v>
      </c>
      <c r="K523">
        <v>3</v>
      </c>
      <c r="L523">
        <v>7</v>
      </c>
      <c r="M523">
        <v>18</v>
      </c>
    </row>
    <row r="524" spans="1:13" x14ac:dyDescent="0.25">
      <c r="A524">
        <v>523</v>
      </c>
      <c r="B524">
        <v>36</v>
      </c>
      <c r="C524">
        <v>24</v>
      </c>
      <c r="D524" s="2">
        <v>42155.688877314817</v>
      </c>
      <c r="E524" t="s">
        <v>179</v>
      </c>
      <c r="F524">
        <v>60</v>
      </c>
      <c r="G524" s="3">
        <v>4</v>
      </c>
      <c r="H524">
        <v>1377</v>
      </c>
      <c r="I524" t="s">
        <v>181</v>
      </c>
      <c r="J524">
        <v>15</v>
      </c>
      <c r="K524">
        <v>7</v>
      </c>
      <c r="L524">
        <v>6</v>
      </c>
      <c r="M524">
        <v>14</v>
      </c>
    </row>
    <row r="525" spans="1:13" x14ac:dyDescent="0.25">
      <c r="A525">
        <v>524</v>
      </c>
      <c r="B525">
        <v>36</v>
      </c>
      <c r="C525">
        <v>19</v>
      </c>
      <c r="D525" s="2">
        <v>42155.937199074076</v>
      </c>
      <c r="E525" t="s">
        <v>179</v>
      </c>
      <c r="F525">
        <v>270</v>
      </c>
      <c r="G525" s="3">
        <v>5</v>
      </c>
      <c r="H525">
        <v>1417</v>
      </c>
      <c r="I525" t="s">
        <v>181</v>
      </c>
      <c r="J525">
        <v>8</v>
      </c>
      <c r="K525">
        <v>18</v>
      </c>
      <c r="L525">
        <v>13</v>
      </c>
      <c r="M525">
        <v>3</v>
      </c>
    </row>
    <row r="526" spans="1:13" x14ac:dyDescent="0.25">
      <c r="A526">
        <v>525</v>
      </c>
      <c r="B526">
        <v>36</v>
      </c>
      <c r="C526">
        <v>28</v>
      </c>
      <c r="D526" s="2">
        <v>42153.196435185186</v>
      </c>
      <c r="E526" t="s">
        <v>179</v>
      </c>
      <c r="F526">
        <v>30</v>
      </c>
      <c r="G526" s="3">
        <v>6</v>
      </c>
      <c r="H526">
        <v>1405</v>
      </c>
      <c r="I526" t="s">
        <v>181</v>
      </c>
      <c r="J526">
        <v>11</v>
      </c>
      <c r="K526">
        <v>4</v>
      </c>
      <c r="L526">
        <v>10</v>
      </c>
      <c r="M526">
        <v>17</v>
      </c>
    </row>
    <row r="527" spans="1:13" x14ac:dyDescent="0.25">
      <c r="A527">
        <v>526</v>
      </c>
      <c r="B527">
        <v>36</v>
      </c>
      <c r="C527">
        <v>26</v>
      </c>
      <c r="D527" s="2">
        <v>42152.455868055556</v>
      </c>
      <c r="E527" t="s">
        <v>179</v>
      </c>
      <c r="F527">
        <v>180</v>
      </c>
      <c r="G527" s="3">
        <v>7</v>
      </c>
      <c r="H527">
        <v>1393</v>
      </c>
      <c r="I527" t="s">
        <v>181</v>
      </c>
      <c r="J527">
        <v>12</v>
      </c>
      <c r="K527">
        <v>12</v>
      </c>
      <c r="L527">
        <v>9</v>
      </c>
      <c r="M527">
        <v>9</v>
      </c>
    </row>
    <row r="528" spans="1:13" x14ac:dyDescent="0.25">
      <c r="A528">
        <v>527</v>
      </c>
      <c r="B528">
        <v>36</v>
      </c>
      <c r="C528">
        <v>18</v>
      </c>
      <c r="D528" s="2">
        <v>42152.70417824074</v>
      </c>
      <c r="E528" t="s">
        <v>179</v>
      </c>
      <c r="F528">
        <v>300</v>
      </c>
      <c r="G528" s="3">
        <v>8</v>
      </c>
      <c r="H528">
        <v>1433</v>
      </c>
      <c r="I528" t="s">
        <v>181</v>
      </c>
      <c r="J528">
        <v>5</v>
      </c>
      <c r="K528">
        <v>19</v>
      </c>
      <c r="L528">
        <v>16</v>
      </c>
      <c r="M528">
        <v>2</v>
      </c>
    </row>
    <row r="529" spans="1:13" x14ac:dyDescent="0.25">
      <c r="A529">
        <v>528</v>
      </c>
      <c r="B529">
        <v>36</v>
      </c>
      <c r="C529">
        <v>2</v>
      </c>
      <c r="D529" s="2">
        <v>42157.96429398148</v>
      </c>
      <c r="E529" t="s">
        <v>179</v>
      </c>
      <c r="F529">
        <v>120</v>
      </c>
      <c r="G529" s="3">
        <v>9</v>
      </c>
      <c r="H529">
        <v>1421</v>
      </c>
      <c r="I529" t="s">
        <v>181</v>
      </c>
      <c r="J529">
        <v>7</v>
      </c>
      <c r="K529">
        <v>9</v>
      </c>
      <c r="L529">
        <v>14</v>
      </c>
      <c r="M529">
        <v>12</v>
      </c>
    </row>
    <row r="530" spans="1:13" x14ac:dyDescent="0.25">
      <c r="A530">
        <v>529</v>
      </c>
      <c r="B530">
        <v>36</v>
      </c>
      <c r="C530">
        <v>9</v>
      </c>
      <c r="D530" s="2">
        <v>42157.223726851851</v>
      </c>
      <c r="E530" t="s">
        <v>179</v>
      </c>
      <c r="F530">
        <v>240</v>
      </c>
      <c r="G530" s="3">
        <v>10</v>
      </c>
      <c r="H530">
        <v>0</v>
      </c>
      <c r="I530" t="s">
        <v>182</v>
      </c>
      <c r="J530">
        <v>0</v>
      </c>
      <c r="K530">
        <v>0</v>
      </c>
      <c r="L530">
        <v>0</v>
      </c>
      <c r="M530">
        <v>0</v>
      </c>
    </row>
    <row r="531" spans="1:13" x14ac:dyDescent="0.25">
      <c r="A531">
        <v>530</v>
      </c>
      <c r="B531">
        <v>36</v>
      </c>
      <c r="C531">
        <v>15</v>
      </c>
      <c r="D531" s="2">
        <v>42155.769861111112</v>
      </c>
      <c r="E531" t="s">
        <v>179</v>
      </c>
      <c r="F531">
        <v>240</v>
      </c>
      <c r="G531" s="3">
        <v>11</v>
      </c>
      <c r="H531">
        <v>1390</v>
      </c>
      <c r="I531" t="s">
        <v>181</v>
      </c>
      <c r="J531">
        <v>13</v>
      </c>
      <c r="K531">
        <v>17</v>
      </c>
      <c r="L531">
        <v>8</v>
      </c>
      <c r="M531">
        <v>4</v>
      </c>
    </row>
    <row r="532" spans="1:13" x14ac:dyDescent="0.25">
      <c r="A532">
        <v>531</v>
      </c>
      <c r="B532">
        <v>36</v>
      </c>
      <c r="C532">
        <v>29</v>
      </c>
      <c r="D532" s="2">
        <v>42157.696921296294</v>
      </c>
      <c r="E532" t="s">
        <v>179</v>
      </c>
      <c r="F532">
        <v>0</v>
      </c>
      <c r="G532" s="3">
        <v>12</v>
      </c>
      <c r="H532">
        <v>1312</v>
      </c>
      <c r="I532" t="s">
        <v>181</v>
      </c>
      <c r="J532">
        <v>19</v>
      </c>
      <c r="K532">
        <v>8</v>
      </c>
      <c r="L532">
        <v>2</v>
      </c>
      <c r="M532">
        <v>13</v>
      </c>
    </row>
    <row r="533" spans="1:13" x14ac:dyDescent="0.25">
      <c r="A533">
        <v>532</v>
      </c>
      <c r="B533">
        <v>36</v>
      </c>
      <c r="C533">
        <v>7</v>
      </c>
      <c r="D533" s="2">
        <v>42156.624849537038</v>
      </c>
      <c r="E533" t="s">
        <v>179</v>
      </c>
      <c r="F533">
        <v>180</v>
      </c>
      <c r="G533" s="3">
        <v>13</v>
      </c>
      <c r="H533">
        <v>1428</v>
      </c>
      <c r="I533" t="s">
        <v>181</v>
      </c>
      <c r="J533">
        <v>6</v>
      </c>
      <c r="K533">
        <v>11</v>
      </c>
      <c r="L533">
        <v>15</v>
      </c>
      <c r="M533">
        <v>10</v>
      </c>
    </row>
    <row r="534" spans="1:13" x14ac:dyDescent="0.25">
      <c r="A534">
        <v>533</v>
      </c>
      <c r="B534">
        <v>36</v>
      </c>
      <c r="C534">
        <v>25</v>
      </c>
      <c r="D534" s="2">
        <v>42156.520844907405</v>
      </c>
      <c r="E534" t="s">
        <v>179</v>
      </c>
      <c r="F534">
        <v>30</v>
      </c>
      <c r="G534" s="3">
        <v>14</v>
      </c>
      <c r="H534">
        <v>1350</v>
      </c>
      <c r="I534" t="s">
        <v>181</v>
      </c>
      <c r="J534">
        <v>16</v>
      </c>
      <c r="K534">
        <v>6</v>
      </c>
      <c r="L534">
        <v>5</v>
      </c>
      <c r="M534">
        <v>15</v>
      </c>
    </row>
    <row r="535" spans="1:13" x14ac:dyDescent="0.25">
      <c r="A535">
        <v>534</v>
      </c>
      <c r="B535">
        <v>36</v>
      </c>
      <c r="C535">
        <v>10</v>
      </c>
      <c r="D535" s="2">
        <v>42157.448599537034</v>
      </c>
      <c r="E535" t="s">
        <v>179</v>
      </c>
      <c r="F535">
        <v>240</v>
      </c>
      <c r="G535" s="3">
        <v>15</v>
      </c>
      <c r="H535">
        <v>0</v>
      </c>
      <c r="I535" t="s">
        <v>182</v>
      </c>
      <c r="J535">
        <v>0</v>
      </c>
      <c r="K535">
        <v>0</v>
      </c>
      <c r="L535">
        <v>0</v>
      </c>
      <c r="M535">
        <v>0</v>
      </c>
    </row>
    <row r="536" spans="1:13" x14ac:dyDescent="0.25">
      <c r="A536">
        <v>535</v>
      </c>
      <c r="B536">
        <v>36</v>
      </c>
      <c r="C536">
        <v>23</v>
      </c>
      <c r="D536" s="2">
        <v>42157.88890046296</v>
      </c>
      <c r="E536" t="s">
        <v>179</v>
      </c>
      <c r="F536">
        <v>60</v>
      </c>
      <c r="G536" s="3">
        <v>16</v>
      </c>
      <c r="H536">
        <v>0</v>
      </c>
      <c r="I536" t="s">
        <v>180</v>
      </c>
      <c r="J536">
        <v>0</v>
      </c>
      <c r="K536">
        <v>0</v>
      </c>
      <c r="L536">
        <v>0</v>
      </c>
      <c r="M536">
        <v>0</v>
      </c>
    </row>
    <row r="537" spans="1:13" x14ac:dyDescent="0.25">
      <c r="A537">
        <v>536</v>
      </c>
      <c r="B537">
        <v>36</v>
      </c>
      <c r="C537">
        <v>30</v>
      </c>
      <c r="D537" s="2">
        <v>42153.492939814816</v>
      </c>
      <c r="E537" t="s">
        <v>179</v>
      </c>
      <c r="F537">
        <v>60</v>
      </c>
      <c r="G537" s="3">
        <v>17</v>
      </c>
      <c r="H537">
        <v>1458</v>
      </c>
      <c r="I537" t="s">
        <v>181</v>
      </c>
      <c r="J537">
        <v>2</v>
      </c>
      <c r="K537">
        <v>2</v>
      </c>
      <c r="L537">
        <v>19</v>
      </c>
      <c r="M537">
        <v>19</v>
      </c>
    </row>
    <row r="538" spans="1:13" x14ac:dyDescent="0.25">
      <c r="A538">
        <v>537</v>
      </c>
      <c r="B538">
        <v>36</v>
      </c>
      <c r="C538">
        <v>11</v>
      </c>
      <c r="D538" s="2">
        <v>42155.100023148145</v>
      </c>
      <c r="E538" t="s">
        <v>179</v>
      </c>
      <c r="F538">
        <v>30</v>
      </c>
      <c r="G538" s="3">
        <v>18</v>
      </c>
      <c r="H538">
        <v>0</v>
      </c>
      <c r="I538" t="s">
        <v>182</v>
      </c>
      <c r="J538">
        <v>0</v>
      </c>
      <c r="K538">
        <v>0</v>
      </c>
      <c r="L538">
        <v>0</v>
      </c>
      <c r="M538">
        <v>0</v>
      </c>
    </row>
    <row r="539" spans="1:13" x14ac:dyDescent="0.25">
      <c r="A539">
        <v>538</v>
      </c>
      <c r="B539">
        <v>36</v>
      </c>
      <c r="C539">
        <v>20</v>
      </c>
      <c r="D539" s="2">
        <v>42154.083333333336</v>
      </c>
      <c r="E539" t="s">
        <v>179</v>
      </c>
      <c r="F539">
        <v>300</v>
      </c>
      <c r="G539" s="3">
        <v>19</v>
      </c>
      <c r="H539">
        <v>1408</v>
      </c>
      <c r="I539" t="s">
        <v>181</v>
      </c>
      <c r="J539">
        <v>10</v>
      </c>
      <c r="K539">
        <v>20</v>
      </c>
      <c r="L539">
        <v>11</v>
      </c>
      <c r="M539">
        <v>1</v>
      </c>
    </row>
    <row r="540" spans="1:13" x14ac:dyDescent="0.25">
      <c r="A540">
        <v>539</v>
      </c>
      <c r="B540">
        <v>36</v>
      </c>
      <c r="C540">
        <v>16</v>
      </c>
      <c r="D540" s="2">
        <v>42156.412222222221</v>
      </c>
      <c r="E540" t="s">
        <v>179</v>
      </c>
      <c r="F540">
        <v>300</v>
      </c>
      <c r="G540" s="3">
        <v>20</v>
      </c>
      <c r="H540">
        <v>1452</v>
      </c>
      <c r="I540" t="s">
        <v>181</v>
      </c>
      <c r="J540">
        <v>3</v>
      </c>
      <c r="K540">
        <v>16</v>
      </c>
      <c r="L540">
        <v>18</v>
      </c>
      <c r="M540">
        <v>5</v>
      </c>
    </row>
    <row r="541" spans="1:13" x14ac:dyDescent="0.25">
      <c r="A541">
        <v>540</v>
      </c>
      <c r="B541">
        <v>36</v>
      </c>
      <c r="C541">
        <v>4</v>
      </c>
      <c r="D541" s="2">
        <v>42154.937638888892</v>
      </c>
      <c r="E541" t="s">
        <v>179</v>
      </c>
      <c r="F541">
        <v>30</v>
      </c>
      <c r="G541" s="3">
        <v>21</v>
      </c>
      <c r="H541">
        <v>1304</v>
      </c>
      <c r="I541" t="s">
        <v>181</v>
      </c>
      <c r="J541">
        <v>20</v>
      </c>
      <c r="K541">
        <v>10</v>
      </c>
      <c r="L541">
        <v>1</v>
      </c>
      <c r="M541">
        <v>11</v>
      </c>
    </row>
    <row r="542" spans="1:13" x14ac:dyDescent="0.25">
      <c r="A542">
        <v>541</v>
      </c>
      <c r="B542">
        <v>36</v>
      </c>
      <c r="C542">
        <v>31</v>
      </c>
      <c r="D542" s="2">
        <v>42154.74763888889</v>
      </c>
      <c r="E542" t="s">
        <v>179</v>
      </c>
      <c r="F542">
        <v>150</v>
      </c>
      <c r="G542" s="3">
        <v>22</v>
      </c>
      <c r="H542">
        <v>0</v>
      </c>
      <c r="I542" t="s">
        <v>180</v>
      </c>
      <c r="J542">
        <v>0</v>
      </c>
      <c r="K542">
        <v>0</v>
      </c>
      <c r="L542">
        <v>0</v>
      </c>
      <c r="M542">
        <v>0</v>
      </c>
    </row>
    <row r="543" spans="1:13" x14ac:dyDescent="0.25">
      <c r="A543">
        <v>542</v>
      </c>
      <c r="B543">
        <v>36</v>
      </c>
      <c r="C543">
        <v>13</v>
      </c>
      <c r="D543" s="2">
        <v>42152.584918981483</v>
      </c>
      <c r="E543" t="s">
        <v>179</v>
      </c>
      <c r="F543">
        <v>150</v>
      </c>
      <c r="G543" s="3">
        <v>23</v>
      </c>
      <c r="H543">
        <v>1333</v>
      </c>
      <c r="I543" t="s">
        <v>181</v>
      </c>
      <c r="J543">
        <v>17</v>
      </c>
      <c r="K543">
        <v>15</v>
      </c>
      <c r="L543">
        <v>4</v>
      </c>
      <c r="M543">
        <v>6</v>
      </c>
    </row>
    <row r="544" spans="1:13" x14ac:dyDescent="0.25">
      <c r="A544">
        <v>543</v>
      </c>
      <c r="B544">
        <v>36</v>
      </c>
      <c r="C544">
        <v>22</v>
      </c>
      <c r="D544" s="2">
        <v>42154.858715277776</v>
      </c>
      <c r="E544" t="s">
        <v>179</v>
      </c>
      <c r="F544">
        <v>120</v>
      </c>
      <c r="G544" s="3">
        <v>24</v>
      </c>
      <c r="H544">
        <v>1317</v>
      </c>
      <c r="I544" t="s">
        <v>181</v>
      </c>
      <c r="J544">
        <v>18</v>
      </c>
      <c r="K544">
        <v>13</v>
      </c>
      <c r="L544">
        <v>3</v>
      </c>
      <c r="M544">
        <v>8</v>
      </c>
    </row>
    <row r="545" spans="1:13" x14ac:dyDescent="0.25">
      <c r="A545">
        <v>544</v>
      </c>
      <c r="B545">
        <v>36</v>
      </c>
      <c r="C545">
        <v>27</v>
      </c>
      <c r="D545" s="2">
        <v>42155.049375000002</v>
      </c>
      <c r="E545" t="s">
        <v>179</v>
      </c>
      <c r="F545">
        <v>90</v>
      </c>
      <c r="G545" s="3">
        <v>25</v>
      </c>
      <c r="H545">
        <v>0</v>
      </c>
      <c r="I545" t="s">
        <v>180</v>
      </c>
      <c r="J545">
        <v>0</v>
      </c>
      <c r="K545">
        <v>0</v>
      </c>
      <c r="L545">
        <v>0</v>
      </c>
      <c r="M545">
        <v>0</v>
      </c>
    </row>
    <row r="546" spans="1:13" x14ac:dyDescent="0.25">
      <c r="A546">
        <v>545</v>
      </c>
      <c r="B546">
        <v>36</v>
      </c>
      <c r="C546">
        <v>1</v>
      </c>
      <c r="D546" s="2">
        <v>42156.088402777779</v>
      </c>
      <c r="E546" t="s">
        <v>179</v>
      </c>
      <c r="F546">
        <v>120</v>
      </c>
      <c r="G546" s="3">
        <v>26</v>
      </c>
      <c r="H546">
        <v>0</v>
      </c>
      <c r="I546" t="s">
        <v>180</v>
      </c>
      <c r="J546">
        <v>0</v>
      </c>
      <c r="K546">
        <v>0</v>
      </c>
      <c r="L546">
        <v>0</v>
      </c>
      <c r="M546">
        <v>0</v>
      </c>
    </row>
    <row r="547" spans="1:13" x14ac:dyDescent="0.25">
      <c r="A547">
        <v>546</v>
      </c>
      <c r="B547">
        <v>36</v>
      </c>
      <c r="C547">
        <v>8</v>
      </c>
      <c r="D547" s="2">
        <v>42157.275694444441</v>
      </c>
      <c r="E547" t="s">
        <v>179</v>
      </c>
      <c r="F547">
        <v>90</v>
      </c>
      <c r="G547" s="3">
        <v>27</v>
      </c>
      <c r="H547">
        <v>1412</v>
      </c>
      <c r="I547" t="s">
        <v>181</v>
      </c>
      <c r="J547">
        <v>9</v>
      </c>
      <c r="K547">
        <v>5</v>
      </c>
      <c r="L547">
        <v>12</v>
      </c>
      <c r="M547">
        <v>16</v>
      </c>
    </row>
    <row r="548" spans="1:13" x14ac:dyDescent="0.25">
      <c r="A548">
        <v>547</v>
      </c>
      <c r="B548">
        <v>37</v>
      </c>
      <c r="C548">
        <v>14</v>
      </c>
      <c r="D548" s="2">
        <v>42163.085752314815</v>
      </c>
      <c r="E548" t="s">
        <v>179</v>
      </c>
      <c r="F548">
        <v>300</v>
      </c>
      <c r="G548" s="3">
        <v>1</v>
      </c>
      <c r="H548">
        <v>0</v>
      </c>
      <c r="I548" t="s">
        <v>180</v>
      </c>
      <c r="J548">
        <v>0</v>
      </c>
      <c r="K548">
        <v>0</v>
      </c>
      <c r="L548">
        <v>0</v>
      </c>
      <c r="M548">
        <v>0</v>
      </c>
    </row>
    <row r="549" spans="1:13" x14ac:dyDescent="0.25">
      <c r="A549">
        <v>548</v>
      </c>
      <c r="B549">
        <v>37</v>
      </c>
      <c r="C549">
        <v>10</v>
      </c>
      <c r="D549" s="2">
        <v>42158.141458333332</v>
      </c>
      <c r="E549" t="s">
        <v>179</v>
      </c>
      <c r="F549">
        <v>300</v>
      </c>
      <c r="G549" s="3">
        <v>2</v>
      </c>
      <c r="H549">
        <v>1379</v>
      </c>
      <c r="I549" t="s">
        <v>181</v>
      </c>
      <c r="J549">
        <v>12</v>
      </c>
      <c r="K549">
        <v>19</v>
      </c>
      <c r="L549">
        <v>9</v>
      </c>
      <c r="M549">
        <v>2</v>
      </c>
    </row>
    <row r="550" spans="1:13" x14ac:dyDescent="0.25">
      <c r="A550">
        <v>549</v>
      </c>
      <c r="B550">
        <v>37</v>
      </c>
      <c r="C550">
        <v>31</v>
      </c>
      <c r="D550" s="2">
        <v>42163.719652777778</v>
      </c>
      <c r="E550" t="s">
        <v>179</v>
      </c>
      <c r="F550">
        <v>300</v>
      </c>
      <c r="G550" s="3">
        <v>3</v>
      </c>
      <c r="H550">
        <v>0</v>
      </c>
      <c r="I550" t="s">
        <v>180</v>
      </c>
      <c r="J550">
        <v>0</v>
      </c>
      <c r="K550">
        <v>0</v>
      </c>
      <c r="L550">
        <v>0</v>
      </c>
      <c r="M550">
        <v>0</v>
      </c>
    </row>
    <row r="551" spans="1:13" x14ac:dyDescent="0.25">
      <c r="A551">
        <v>550</v>
      </c>
      <c r="B551">
        <v>37</v>
      </c>
      <c r="C551">
        <v>18</v>
      </c>
      <c r="D551" s="2">
        <v>42160.599988425929</v>
      </c>
      <c r="E551" t="s">
        <v>179</v>
      </c>
      <c r="F551">
        <v>30</v>
      </c>
      <c r="G551" s="3">
        <v>4</v>
      </c>
      <c r="H551">
        <v>1356</v>
      </c>
      <c r="I551" t="s">
        <v>181</v>
      </c>
      <c r="J551">
        <v>14</v>
      </c>
      <c r="K551">
        <v>7</v>
      </c>
      <c r="L551">
        <v>7</v>
      </c>
      <c r="M551">
        <v>14</v>
      </c>
    </row>
    <row r="552" spans="1:13" x14ac:dyDescent="0.25">
      <c r="A552">
        <v>551</v>
      </c>
      <c r="B552">
        <v>37</v>
      </c>
      <c r="C552">
        <v>23</v>
      </c>
      <c r="D552" s="2">
        <v>42162.831620370373</v>
      </c>
      <c r="E552" t="s">
        <v>179</v>
      </c>
      <c r="F552">
        <v>240</v>
      </c>
      <c r="G552" s="3">
        <v>5</v>
      </c>
      <c r="H552">
        <v>1339</v>
      </c>
      <c r="I552" t="s">
        <v>181</v>
      </c>
      <c r="J552">
        <v>17</v>
      </c>
      <c r="K552">
        <v>18</v>
      </c>
      <c r="L552">
        <v>4</v>
      </c>
      <c r="M552">
        <v>3</v>
      </c>
    </row>
    <row r="553" spans="1:13" x14ac:dyDescent="0.25">
      <c r="A553">
        <v>552</v>
      </c>
      <c r="B553">
        <v>37</v>
      </c>
      <c r="C553">
        <v>27</v>
      </c>
      <c r="D553" s="2">
        <v>42158.063761574071</v>
      </c>
      <c r="E553" t="s">
        <v>179</v>
      </c>
      <c r="F553">
        <v>180</v>
      </c>
      <c r="G553" s="3">
        <v>6</v>
      </c>
      <c r="H553">
        <v>0</v>
      </c>
      <c r="I553" t="s">
        <v>180</v>
      </c>
      <c r="J553">
        <v>0</v>
      </c>
      <c r="K553">
        <v>0</v>
      </c>
      <c r="L553">
        <v>0</v>
      </c>
      <c r="M553">
        <v>0</v>
      </c>
    </row>
    <row r="554" spans="1:13" x14ac:dyDescent="0.25">
      <c r="A554">
        <v>553</v>
      </c>
      <c r="B554">
        <v>37</v>
      </c>
      <c r="C554">
        <v>5</v>
      </c>
      <c r="D554" s="2">
        <v>42157.060416666667</v>
      </c>
      <c r="E554" t="s">
        <v>179</v>
      </c>
      <c r="F554">
        <v>30</v>
      </c>
      <c r="G554" s="3">
        <v>7</v>
      </c>
      <c r="H554">
        <v>0</v>
      </c>
      <c r="I554" t="s">
        <v>180</v>
      </c>
      <c r="J554">
        <v>0</v>
      </c>
      <c r="K554">
        <v>0</v>
      </c>
      <c r="L554">
        <v>0</v>
      </c>
      <c r="M554">
        <v>0</v>
      </c>
    </row>
    <row r="555" spans="1:13" x14ac:dyDescent="0.25">
      <c r="A555">
        <v>554</v>
      </c>
      <c r="B555">
        <v>37</v>
      </c>
      <c r="C555">
        <v>8</v>
      </c>
      <c r="D555" s="2">
        <v>42159.967858796299</v>
      </c>
      <c r="E555" t="s">
        <v>179</v>
      </c>
      <c r="F555">
        <v>240</v>
      </c>
      <c r="G555" s="3">
        <v>8</v>
      </c>
      <c r="H555">
        <v>1437</v>
      </c>
      <c r="I555" t="s">
        <v>181</v>
      </c>
      <c r="J555">
        <v>6</v>
      </c>
      <c r="K555">
        <v>14</v>
      </c>
      <c r="L555">
        <v>15</v>
      </c>
      <c r="M555">
        <v>7</v>
      </c>
    </row>
    <row r="556" spans="1:13" x14ac:dyDescent="0.25">
      <c r="A556">
        <v>555</v>
      </c>
      <c r="B556">
        <v>37</v>
      </c>
      <c r="C556">
        <v>30</v>
      </c>
      <c r="D556" s="2">
        <v>42158.549050925925</v>
      </c>
      <c r="E556" t="s">
        <v>179</v>
      </c>
      <c r="F556">
        <v>300</v>
      </c>
      <c r="G556" s="3">
        <v>9</v>
      </c>
      <c r="H556">
        <v>1348</v>
      </c>
      <c r="I556" t="s">
        <v>181</v>
      </c>
      <c r="J556">
        <v>15</v>
      </c>
      <c r="K556">
        <v>20</v>
      </c>
      <c r="L556">
        <v>6</v>
      </c>
      <c r="M556">
        <v>1</v>
      </c>
    </row>
    <row r="557" spans="1:13" x14ac:dyDescent="0.25">
      <c r="A557">
        <v>556</v>
      </c>
      <c r="B557">
        <v>37</v>
      </c>
      <c r="C557">
        <v>2</v>
      </c>
      <c r="D557" s="2">
        <v>42157.421203703707</v>
      </c>
      <c r="E557" t="s">
        <v>179</v>
      </c>
      <c r="F557">
        <v>60</v>
      </c>
      <c r="G557" s="3">
        <v>10</v>
      </c>
      <c r="H557">
        <v>1403</v>
      </c>
      <c r="I557" t="s">
        <v>181</v>
      </c>
      <c r="J557">
        <v>11</v>
      </c>
      <c r="K557">
        <v>5</v>
      </c>
      <c r="L557">
        <v>10</v>
      </c>
      <c r="M557">
        <v>16</v>
      </c>
    </row>
    <row r="558" spans="1:13" x14ac:dyDescent="0.25">
      <c r="A558">
        <v>557</v>
      </c>
      <c r="B558">
        <v>37</v>
      </c>
      <c r="C558">
        <v>11</v>
      </c>
      <c r="D558" s="2">
        <v>42162.012812499997</v>
      </c>
      <c r="E558" t="s">
        <v>179</v>
      </c>
      <c r="F558">
        <v>120</v>
      </c>
      <c r="G558" s="3">
        <v>11</v>
      </c>
      <c r="H558">
        <v>1314</v>
      </c>
      <c r="I558" t="s">
        <v>181</v>
      </c>
      <c r="J558">
        <v>20</v>
      </c>
      <c r="K558">
        <v>16</v>
      </c>
      <c r="L558">
        <v>1</v>
      </c>
      <c r="M558">
        <v>5</v>
      </c>
    </row>
    <row r="559" spans="1:13" x14ac:dyDescent="0.25">
      <c r="A559">
        <v>558</v>
      </c>
      <c r="B559">
        <v>37</v>
      </c>
      <c r="C559">
        <v>1</v>
      </c>
      <c r="D559" s="2">
        <v>42161.635671296295</v>
      </c>
      <c r="E559" t="s">
        <v>179</v>
      </c>
      <c r="F559">
        <v>240</v>
      </c>
      <c r="G559" s="3">
        <v>12</v>
      </c>
      <c r="H559">
        <v>1370</v>
      </c>
      <c r="I559" t="s">
        <v>181</v>
      </c>
      <c r="J559">
        <v>13</v>
      </c>
      <c r="K559">
        <v>17</v>
      </c>
      <c r="L559">
        <v>8</v>
      </c>
      <c r="M559">
        <v>4</v>
      </c>
    </row>
    <row r="560" spans="1:13" x14ac:dyDescent="0.25">
      <c r="A560">
        <v>559</v>
      </c>
      <c r="B560">
        <v>37</v>
      </c>
      <c r="C560">
        <v>26</v>
      </c>
      <c r="D560" s="2">
        <v>42158.216168981482</v>
      </c>
      <c r="E560" t="s">
        <v>179</v>
      </c>
      <c r="F560">
        <v>0</v>
      </c>
      <c r="G560" s="3">
        <v>13</v>
      </c>
      <c r="H560">
        <v>1425</v>
      </c>
      <c r="I560" t="s">
        <v>181</v>
      </c>
      <c r="J560">
        <v>7</v>
      </c>
      <c r="K560">
        <v>2</v>
      </c>
      <c r="L560">
        <v>14</v>
      </c>
      <c r="M560">
        <v>19</v>
      </c>
    </row>
    <row r="561" spans="1:13" x14ac:dyDescent="0.25">
      <c r="A561">
        <v>560</v>
      </c>
      <c r="B561">
        <v>37</v>
      </c>
      <c r="C561">
        <v>7</v>
      </c>
      <c r="D561" s="2">
        <v>42157.100138888891</v>
      </c>
      <c r="E561" t="s">
        <v>179</v>
      </c>
      <c r="F561">
        <v>60</v>
      </c>
      <c r="G561" s="3">
        <v>14</v>
      </c>
      <c r="H561">
        <v>1336</v>
      </c>
      <c r="I561" t="s">
        <v>181</v>
      </c>
      <c r="J561">
        <v>18</v>
      </c>
      <c r="K561">
        <v>11</v>
      </c>
      <c r="L561">
        <v>3</v>
      </c>
      <c r="M561">
        <v>10</v>
      </c>
    </row>
    <row r="562" spans="1:13" x14ac:dyDescent="0.25">
      <c r="A562">
        <v>561</v>
      </c>
      <c r="B562">
        <v>37</v>
      </c>
      <c r="C562">
        <v>19</v>
      </c>
      <c r="D562" s="2">
        <v>42162.680636574078</v>
      </c>
      <c r="E562" t="s">
        <v>179</v>
      </c>
      <c r="F562">
        <v>150</v>
      </c>
      <c r="G562" s="3">
        <v>15</v>
      </c>
      <c r="H562">
        <v>0</v>
      </c>
      <c r="I562" t="s">
        <v>180</v>
      </c>
      <c r="J562">
        <v>0</v>
      </c>
      <c r="K562">
        <v>0</v>
      </c>
      <c r="L562">
        <v>0</v>
      </c>
      <c r="M562">
        <v>0</v>
      </c>
    </row>
    <row r="563" spans="1:13" x14ac:dyDescent="0.25">
      <c r="A563">
        <v>562</v>
      </c>
      <c r="B563">
        <v>37</v>
      </c>
      <c r="C563">
        <v>17</v>
      </c>
      <c r="D563" s="2">
        <v>42158.442557870374</v>
      </c>
      <c r="E563" t="s">
        <v>179</v>
      </c>
      <c r="F563">
        <v>60</v>
      </c>
      <c r="G563" s="3">
        <v>16</v>
      </c>
      <c r="H563">
        <v>1419</v>
      </c>
      <c r="I563" t="s">
        <v>181</v>
      </c>
      <c r="J563">
        <v>8</v>
      </c>
      <c r="K563">
        <v>4</v>
      </c>
      <c r="L563">
        <v>13</v>
      </c>
      <c r="M563">
        <v>17</v>
      </c>
    </row>
    <row r="564" spans="1:13" x14ac:dyDescent="0.25">
      <c r="A564">
        <v>563</v>
      </c>
      <c r="B564">
        <v>37</v>
      </c>
      <c r="C564">
        <v>25</v>
      </c>
      <c r="D564" s="2">
        <v>42162.979780092595</v>
      </c>
      <c r="E564" t="s">
        <v>179</v>
      </c>
      <c r="F564">
        <v>120</v>
      </c>
      <c r="G564" s="3">
        <v>17</v>
      </c>
      <c r="H564">
        <v>1412</v>
      </c>
      <c r="I564" t="s">
        <v>181</v>
      </c>
      <c r="J564">
        <v>10</v>
      </c>
      <c r="K564">
        <v>10</v>
      </c>
      <c r="L564">
        <v>11</v>
      </c>
      <c r="M564">
        <v>11</v>
      </c>
    </row>
    <row r="565" spans="1:13" x14ac:dyDescent="0.25">
      <c r="A565">
        <v>564</v>
      </c>
      <c r="B565">
        <v>37</v>
      </c>
      <c r="C565">
        <v>9</v>
      </c>
      <c r="D565" s="2">
        <v>42159.213530092595</v>
      </c>
      <c r="E565" t="s">
        <v>179</v>
      </c>
      <c r="F565">
        <v>120</v>
      </c>
      <c r="G565" s="3">
        <v>18</v>
      </c>
      <c r="H565">
        <v>1458</v>
      </c>
      <c r="I565" t="s">
        <v>181</v>
      </c>
      <c r="J565">
        <v>3</v>
      </c>
      <c r="K565">
        <v>6</v>
      </c>
      <c r="L565">
        <v>18</v>
      </c>
      <c r="M565">
        <v>15</v>
      </c>
    </row>
    <row r="566" spans="1:13" x14ac:dyDescent="0.25">
      <c r="A566">
        <v>565</v>
      </c>
      <c r="B566">
        <v>37</v>
      </c>
      <c r="C566">
        <v>6</v>
      </c>
      <c r="D566" s="2">
        <v>42163.792592592596</v>
      </c>
      <c r="E566" t="s">
        <v>179</v>
      </c>
      <c r="F566">
        <v>90</v>
      </c>
      <c r="G566" s="3">
        <v>19</v>
      </c>
      <c r="H566">
        <v>1503</v>
      </c>
      <c r="I566" t="s">
        <v>181</v>
      </c>
      <c r="J566">
        <v>0</v>
      </c>
      <c r="K566">
        <v>3</v>
      </c>
      <c r="L566">
        <v>21</v>
      </c>
      <c r="M566">
        <v>18</v>
      </c>
    </row>
    <row r="567" spans="1:13" x14ac:dyDescent="0.25">
      <c r="A567">
        <v>566</v>
      </c>
      <c r="B567">
        <v>37</v>
      </c>
      <c r="C567">
        <v>15</v>
      </c>
      <c r="D567" s="2">
        <v>42164.590601851851</v>
      </c>
      <c r="E567" t="s">
        <v>179</v>
      </c>
      <c r="F567">
        <v>30</v>
      </c>
      <c r="G567" s="3">
        <v>20</v>
      </c>
      <c r="H567">
        <v>1457</v>
      </c>
      <c r="I567" t="s">
        <v>181</v>
      </c>
      <c r="J567">
        <v>4</v>
      </c>
      <c r="K567">
        <v>1</v>
      </c>
      <c r="L567">
        <v>17</v>
      </c>
      <c r="M567">
        <v>20</v>
      </c>
    </row>
    <row r="568" spans="1:13" x14ac:dyDescent="0.25">
      <c r="A568">
        <v>567</v>
      </c>
      <c r="B568">
        <v>37</v>
      </c>
      <c r="C568">
        <v>29</v>
      </c>
      <c r="D568" s="2">
        <v>42161.127129629633</v>
      </c>
      <c r="E568" t="s">
        <v>179</v>
      </c>
      <c r="F568">
        <v>0</v>
      </c>
      <c r="G568" s="3">
        <v>21</v>
      </c>
      <c r="H568">
        <v>1450</v>
      </c>
      <c r="I568" t="s">
        <v>181</v>
      </c>
      <c r="J568">
        <v>5</v>
      </c>
      <c r="K568">
        <v>0</v>
      </c>
      <c r="L568">
        <v>16</v>
      </c>
      <c r="M568">
        <v>21</v>
      </c>
    </row>
    <row r="569" spans="1:13" x14ac:dyDescent="0.25">
      <c r="A569">
        <v>568</v>
      </c>
      <c r="B569">
        <v>37</v>
      </c>
      <c r="C569">
        <v>28</v>
      </c>
      <c r="D569" s="2">
        <v>42163.456712962965</v>
      </c>
      <c r="E569" t="s">
        <v>179</v>
      </c>
      <c r="F569">
        <v>300</v>
      </c>
      <c r="G569" s="3">
        <v>22</v>
      </c>
      <c r="H569">
        <v>1495</v>
      </c>
      <c r="I569" t="s">
        <v>181</v>
      </c>
      <c r="J569">
        <v>1</v>
      </c>
      <c r="K569">
        <v>15</v>
      </c>
      <c r="L569">
        <v>20</v>
      </c>
      <c r="M569">
        <v>6</v>
      </c>
    </row>
    <row r="570" spans="1:13" x14ac:dyDescent="0.25">
      <c r="A570">
        <v>569</v>
      </c>
      <c r="B570">
        <v>37</v>
      </c>
      <c r="C570">
        <v>13</v>
      </c>
      <c r="D570" s="2">
        <v>42160.982129629629</v>
      </c>
      <c r="E570" t="s">
        <v>179</v>
      </c>
      <c r="F570">
        <v>30</v>
      </c>
      <c r="G570" s="3">
        <v>23</v>
      </c>
      <c r="H570">
        <v>1344</v>
      </c>
      <c r="I570" t="s">
        <v>181</v>
      </c>
      <c r="J570">
        <v>16</v>
      </c>
      <c r="K570">
        <v>8</v>
      </c>
      <c r="L570">
        <v>5</v>
      </c>
      <c r="M570">
        <v>13</v>
      </c>
    </row>
    <row r="571" spans="1:13" x14ac:dyDescent="0.25">
      <c r="A571">
        <v>570</v>
      </c>
      <c r="B571">
        <v>37</v>
      </c>
      <c r="C571">
        <v>21</v>
      </c>
      <c r="D571" s="2">
        <v>42157.269537037035</v>
      </c>
      <c r="E571" t="s">
        <v>179</v>
      </c>
      <c r="F571">
        <v>30</v>
      </c>
      <c r="G571" s="3">
        <v>24</v>
      </c>
      <c r="H571">
        <v>0</v>
      </c>
      <c r="I571" t="s">
        <v>182</v>
      </c>
      <c r="J571">
        <v>0</v>
      </c>
      <c r="K571">
        <v>0</v>
      </c>
      <c r="L571">
        <v>0</v>
      </c>
      <c r="M571">
        <v>0</v>
      </c>
    </row>
    <row r="572" spans="1:13" x14ac:dyDescent="0.25">
      <c r="A572">
        <v>571</v>
      </c>
      <c r="B572">
        <v>37</v>
      </c>
      <c r="C572">
        <v>4</v>
      </c>
      <c r="D572" s="2">
        <v>42158.575057870374</v>
      </c>
      <c r="E572" t="s">
        <v>179</v>
      </c>
      <c r="F572">
        <v>240</v>
      </c>
      <c r="G572" s="3">
        <v>25</v>
      </c>
      <c r="H572">
        <v>1481</v>
      </c>
      <c r="I572" t="s">
        <v>181</v>
      </c>
      <c r="J572">
        <v>2</v>
      </c>
      <c r="K572">
        <v>13</v>
      </c>
      <c r="L572">
        <v>19</v>
      </c>
      <c r="M572">
        <v>8</v>
      </c>
    </row>
    <row r="573" spans="1:13" x14ac:dyDescent="0.25">
      <c r="A573">
        <v>572</v>
      </c>
      <c r="B573">
        <v>37</v>
      </c>
      <c r="C573">
        <v>20</v>
      </c>
      <c r="D573" s="2">
        <v>42159.129143518519</v>
      </c>
      <c r="E573" t="s">
        <v>179</v>
      </c>
      <c r="F573">
        <v>90</v>
      </c>
      <c r="G573" s="3">
        <v>26</v>
      </c>
      <c r="H573">
        <v>1335</v>
      </c>
      <c r="I573" t="s">
        <v>181</v>
      </c>
      <c r="J573">
        <v>19</v>
      </c>
      <c r="K573">
        <v>12</v>
      </c>
      <c r="L573">
        <v>2</v>
      </c>
      <c r="M573">
        <v>9</v>
      </c>
    </row>
    <row r="574" spans="1:13" x14ac:dyDescent="0.25">
      <c r="A574">
        <v>573</v>
      </c>
      <c r="B574">
        <v>37</v>
      </c>
      <c r="C574">
        <v>22</v>
      </c>
      <c r="D574" s="2">
        <v>42161.735324074078</v>
      </c>
      <c r="E574" t="s">
        <v>179</v>
      </c>
      <c r="F574">
        <v>300</v>
      </c>
      <c r="G574" s="3">
        <v>27</v>
      </c>
      <c r="H574">
        <v>0</v>
      </c>
      <c r="I574" t="s">
        <v>182</v>
      </c>
      <c r="J574">
        <v>0</v>
      </c>
      <c r="K574">
        <v>0</v>
      </c>
      <c r="L574">
        <v>0</v>
      </c>
      <c r="M574">
        <v>0</v>
      </c>
    </row>
    <row r="575" spans="1:13" x14ac:dyDescent="0.25">
      <c r="A575">
        <v>574</v>
      </c>
      <c r="B575">
        <v>37</v>
      </c>
      <c r="C575">
        <v>16</v>
      </c>
      <c r="D575" s="2">
        <v>42162.834664351853</v>
      </c>
      <c r="E575" t="s">
        <v>179</v>
      </c>
      <c r="F575">
        <v>120</v>
      </c>
      <c r="G575" s="3">
        <v>28</v>
      </c>
      <c r="H575">
        <v>1415</v>
      </c>
      <c r="I575" t="s">
        <v>181</v>
      </c>
      <c r="J575">
        <v>9</v>
      </c>
      <c r="K575">
        <v>9</v>
      </c>
      <c r="L575">
        <v>12</v>
      </c>
      <c r="M575">
        <v>12</v>
      </c>
    </row>
    <row r="576" spans="1:13" x14ac:dyDescent="0.25">
      <c r="A576">
        <v>575</v>
      </c>
      <c r="B576">
        <v>38</v>
      </c>
      <c r="C576">
        <v>28</v>
      </c>
      <c r="D576" s="2">
        <v>42165.674583333333</v>
      </c>
      <c r="E576" t="s">
        <v>179</v>
      </c>
      <c r="F576">
        <v>60</v>
      </c>
      <c r="G576" s="3">
        <v>1</v>
      </c>
      <c r="H576">
        <v>1287</v>
      </c>
      <c r="I576" t="s">
        <v>181</v>
      </c>
      <c r="J576">
        <v>20</v>
      </c>
      <c r="K576">
        <v>18</v>
      </c>
      <c r="L576">
        <v>1</v>
      </c>
      <c r="M576">
        <v>3</v>
      </c>
    </row>
    <row r="577" spans="1:13" x14ac:dyDescent="0.25">
      <c r="A577">
        <v>576</v>
      </c>
      <c r="B577">
        <v>38</v>
      </c>
      <c r="C577">
        <v>6</v>
      </c>
      <c r="D577" s="2">
        <v>42167.94908564815</v>
      </c>
      <c r="E577" t="s">
        <v>179</v>
      </c>
      <c r="F577">
        <v>300</v>
      </c>
      <c r="G577" s="3">
        <v>2</v>
      </c>
      <c r="H577">
        <v>1464</v>
      </c>
      <c r="I577" t="s">
        <v>181</v>
      </c>
      <c r="J577">
        <v>18</v>
      </c>
      <c r="K577">
        <v>20</v>
      </c>
      <c r="L577">
        <v>3</v>
      </c>
      <c r="M577">
        <v>1</v>
      </c>
    </row>
    <row r="578" spans="1:13" x14ac:dyDescent="0.25">
      <c r="A578">
        <v>577</v>
      </c>
      <c r="B578">
        <v>38</v>
      </c>
      <c r="C578">
        <v>27</v>
      </c>
      <c r="D578" s="2">
        <v>42169.889050925929</v>
      </c>
      <c r="E578" t="s">
        <v>179</v>
      </c>
      <c r="F578">
        <v>270</v>
      </c>
      <c r="G578" s="3">
        <v>3</v>
      </c>
      <c r="H578">
        <v>1447</v>
      </c>
      <c r="I578" t="s">
        <v>181</v>
      </c>
      <c r="J578">
        <v>19</v>
      </c>
      <c r="K578">
        <v>19</v>
      </c>
      <c r="L578">
        <v>2</v>
      </c>
      <c r="M578">
        <v>2</v>
      </c>
    </row>
    <row r="579" spans="1:13" x14ac:dyDescent="0.25">
      <c r="A579">
        <v>578</v>
      </c>
      <c r="B579">
        <v>38</v>
      </c>
      <c r="C579">
        <v>13</v>
      </c>
      <c r="D579" s="2">
        <v>42171.121192129627</v>
      </c>
      <c r="E579" t="s">
        <v>179</v>
      </c>
      <c r="F579">
        <v>180</v>
      </c>
      <c r="G579" s="3">
        <v>4</v>
      </c>
      <c r="H579">
        <v>0</v>
      </c>
      <c r="I579" t="s">
        <v>182</v>
      </c>
      <c r="J579">
        <v>0</v>
      </c>
      <c r="K579">
        <v>0</v>
      </c>
      <c r="L579">
        <v>0</v>
      </c>
      <c r="M579">
        <v>0</v>
      </c>
    </row>
    <row r="580" spans="1:13" x14ac:dyDescent="0.25">
      <c r="A580">
        <v>579</v>
      </c>
      <c r="B580">
        <v>39</v>
      </c>
      <c r="C580">
        <v>23</v>
      </c>
      <c r="D580" s="2">
        <v>42171.790335648147</v>
      </c>
      <c r="E580" t="s">
        <v>179</v>
      </c>
      <c r="F580">
        <v>0</v>
      </c>
      <c r="G580" s="3">
        <v>1</v>
      </c>
      <c r="H580">
        <v>1691</v>
      </c>
      <c r="I580" t="s">
        <v>181</v>
      </c>
      <c r="J580">
        <v>8</v>
      </c>
      <c r="K580">
        <v>7</v>
      </c>
      <c r="L580">
        <v>13</v>
      </c>
      <c r="M580">
        <v>14</v>
      </c>
    </row>
    <row r="581" spans="1:13" x14ac:dyDescent="0.25">
      <c r="A581">
        <v>580</v>
      </c>
      <c r="B581">
        <v>39</v>
      </c>
      <c r="C581">
        <v>25</v>
      </c>
      <c r="D581" s="2">
        <v>42178.008784722224</v>
      </c>
      <c r="E581" t="s">
        <v>179</v>
      </c>
      <c r="F581">
        <v>150</v>
      </c>
      <c r="G581" s="3">
        <v>2</v>
      </c>
      <c r="H581">
        <v>1677</v>
      </c>
      <c r="I581" t="s">
        <v>181</v>
      </c>
      <c r="J581">
        <v>11</v>
      </c>
      <c r="K581">
        <v>13</v>
      </c>
      <c r="L581">
        <v>10</v>
      </c>
      <c r="M581">
        <v>8</v>
      </c>
    </row>
    <row r="582" spans="1:13" x14ac:dyDescent="0.25">
      <c r="A582">
        <v>581</v>
      </c>
      <c r="B582">
        <v>39</v>
      </c>
      <c r="C582">
        <v>12</v>
      </c>
      <c r="D582" s="2">
        <v>42178.268206018518</v>
      </c>
      <c r="E582" t="s">
        <v>179</v>
      </c>
      <c r="F582">
        <v>270</v>
      </c>
      <c r="G582" s="3">
        <v>3</v>
      </c>
      <c r="H582">
        <v>1664</v>
      </c>
      <c r="I582" t="s">
        <v>181</v>
      </c>
      <c r="J582">
        <v>12</v>
      </c>
      <c r="K582">
        <v>20</v>
      </c>
      <c r="L582">
        <v>9</v>
      </c>
      <c r="M582">
        <v>1</v>
      </c>
    </row>
    <row r="583" spans="1:13" x14ac:dyDescent="0.25">
      <c r="A583">
        <v>582</v>
      </c>
      <c r="B583">
        <v>39</v>
      </c>
      <c r="C583">
        <v>30</v>
      </c>
      <c r="D583" s="2">
        <v>42177.527638888889</v>
      </c>
      <c r="E583" t="s">
        <v>179</v>
      </c>
      <c r="F583">
        <v>30</v>
      </c>
      <c r="G583" s="3">
        <v>4</v>
      </c>
      <c r="H583">
        <v>0</v>
      </c>
      <c r="I583" t="s">
        <v>182</v>
      </c>
      <c r="J583">
        <v>0</v>
      </c>
      <c r="K583">
        <v>0</v>
      </c>
      <c r="L583">
        <v>0</v>
      </c>
      <c r="M583">
        <v>0</v>
      </c>
    </row>
    <row r="584" spans="1:13" x14ac:dyDescent="0.25">
      <c r="A584">
        <v>583</v>
      </c>
      <c r="B584">
        <v>39</v>
      </c>
      <c r="C584">
        <v>22</v>
      </c>
      <c r="D584" s="2">
        <v>42178.741400462961</v>
      </c>
      <c r="E584" t="s">
        <v>179</v>
      </c>
      <c r="F584">
        <v>30</v>
      </c>
      <c r="G584" s="3">
        <v>5</v>
      </c>
      <c r="H584">
        <v>1550</v>
      </c>
      <c r="I584" t="s">
        <v>181</v>
      </c>
      <c r="J584">
        <v>20</v>
      </c>
      <c r="K584">
        <v>14</v>
      </c>
      <c r="L584">
        <v>1</v>
      </c>
      <c r="M584">
        <v>7</v>
      </c>
    </row>
    <row r="585" spans="1:13" x14ac:dyDescent="0.25">
      <c r="A585">
        <v>584</v>
      </c>
      <c r="B585">
        <v>39</v>
      </c>
      <c r="C585">
        <v>21</v>
      </c>
      <c r="D585" s="2">
        <v>42177.626979166664</v>
      </c>
      <c r="E585" t="s">
        <v>179</v>
      </c>
      <c r="F585">
        <v>180</v>
      </c>
      <c r="G585" s="3">
        <v>6</v>
      </c>
      <c r="H585">
        <v>1685</v>
      </c>
      <c r="I585" t="s">
        <v>181</v>
      </c>
      <c r="J585">
        <v>9</v>
      </c>
      <c r="K585">
        <v>16</v>
      </c>
      <c r="L585">
        <v>12</v>
      </c>
      <c r="M585">
        <v>5</v>
      </c>
    </row>
    <row r="586" spans="1:13" x14ac:dyDescent="0.25">
      <c r="A586">
        <v>585</v>
      </c>
      <c r="B586">
        <v>39</v>
      </c>
      <c r="C586">
        <v>24</v>
      </c>
      <c r="D586" s="2">
        <v>42177.565335648149</v>
      </c>
      <c r="E586" t="s">
        <v>179</v>
      </c>
      <c r="F586">
        <v>60</v>
      </c>
      <c r="G586" s="3">
        <v>7</v>
      </c>
      <c r="H586">
        <v>1594</v>
      </c>
      <c r="I586" t="s">
        <v>181</v>
      </c>
      <c r="J586">
        <v>17</v>
      </c>
      <c r="K586">
        <v>12</v>
      </c>
      <c r="L586">
        <v>4</v>
      </c>
      <c r="M586">
        <v>9</v>
      </c>
    </row>
    <row r="587" spans="1:13" x14ac:dyDescent="0.25">
      <c r="A587">
        <v>586</v>
      </c>
      <c r="B587">
        <v>39</v>
      </c>
      <c r="C587">
        <v>1</v>
      </c>
      <c r="D587" s="2">
        <v>42171.492395833331</v>
      </c>
      <c r="E587" t="s">
        <v>179</v>
      </c>
      <c r="F587">
        <v>270</v>
      </c>
      <c r="G587" s="3">
        <v>8</v>
      </c>
      <c r="H587">
        <v>0</v>
      </c>
      <c r="I587" t="s">
        <v>182</v>
      </c>
      <c r="J587">
        <v>0</v>
      </c>
      <c r="K587">
        <v>0</v>
      </c>
      <c r="L587">
        <v>0</v>
      </c>
      <c r="M587">
        <v>0</v>
      </c>
    </row>
    <row r="588" spans="1:13" x14ac:dyDescent="0.25">
      <c r="A588">
        <v>587</v>
      </c>
      <c r="B588">
        <v>39</v>
      </c>
      <c r="C588">
        <v>17</v>
      </c>
      <c r="D588" s="2">
        <v>42171.932685185187</v>
      </c>
      <c r="E588" t="s">
        <v>179</v>
      </c>
      <c r="F588">
        <v>60</v>
      </c>
      <c r="G588" s="3">
        <v>9</v>
      </c>
      <c r="H588">
        <v>1624</v>
      </c>
      <c r="I588" t="s">
        <v>181</v>
      </c>
      <c r="J588">
        <v>15</v>
      </c>
      <c r="K588">
        <v>10</v>
      </c>
      <c r="L588">
        <v>6</v>
      </c>
      <c r="M588">
        <v>11</v>
      </c>
    </row>
    <row r="589" spans="1:13" x14ac:dyDescent="0.25">
      <c r="A589">
        <v>588</v>
      </c>
      <c r="B589">
        <v>39</v>
      </c>
      <c r="C589">
        <v>3</v>
      </c>
      <c r="D589" s="2">
        <v>42178.887731481482</v>
      </c>
      <c r="E589" t="s">
        <v>179</v>
      </c>
      <c r="F589">
        <v>150</v>
      </c>
      <c r="G589" s="3">
        <v>10</v>
      </c>
      <c r="H589">
        <v>1659</v>
      </c>
      <c r="I589" t="s">
        <v>181</v>
      </c>
      <c r="J589">
        <v>13</v>
      </c>
      <c r="K589">
        <v>15</v>
      </c>
      <c r="L589">
        <v>8</v>
      </c>
      <c r="M589">
        <v>6</v>
      </c>
    </row>
    <row r="590" spans="1:13" x14ac:dyDescent="0.25">
      <c r="A590">
        <v>589</v>
      </c>
      <c r="B590">
        <v>39</v>
      </c>
      <c r="C590">
        <v>26</v>
      </c>
      <c r="D590" s="2">
        <v>42171.656331018516</v>
      </c>
      <c r="E590" t="s">
        <v>179</v>
      </c>
      <c r="F590">
        <v>60</v>
      </c>
      <c r="G590" s="3">
        <v>11</v>
      </c>
      <c r="H590">
        <v>0</v>
      </c>
      <c r="I590" t="s">
        <v>182</v>
      </c>
      <c r="J590">
        <v>0</v>
      </c>
      <c r="K590">
        <v>0</v>
      </c>
      <c r="L590">
        <v>0</v>
      </c>
      <c r="M590">
        <v>0</v>
      </c>
    </row>
    <row r="591" spans="1:13" x14ac:dyDescent="0.25">
      <c r="A591">
        <v>590</v>
      </c>
      <c r="B591">
        <v>39</v>
      </c>
      <c r="C591">
        <v>27</v>
      </c>
      <c r="D591" s="2">
        <v>42175.607407407406</v>
      </c>
      <c r="E591" t="s">
        <v>179</v>
      </c>
      <c r="F591">
        <v>90</v>
      </c>
      <c r="G591" s="3">
        <v>12</v>
      </c>
      <c r="H591">
        <v>1719</v>
      </c>
      <c r="I591" t="s">
        <v>181</v>
      </c>
      <c r="J591">
        <v>7</v>
      </c>
      <c r="K591">
        <v>8</v>
      </c>
      <c r="L591">
        <v>14</v>
      </c>
      <c r="M591">
        <v>13</v>
      </c>
    </row>
    <row r="592" spans="1:13" x14ac:dyDescent="0.25">
      <c r="A592">
        <v>591</v>
      </c>
      <c r="B592">
        <v>39</v>
      </c>
      <c r="C592">
        <v>5</v>
      </c>
      <c r="D592" s="2">
        <v>42174.187905092593</v>
      </c>
      <c r="E592" t="s">
        <v>179</v>
      </c>
      <c r="F592">
        <v>180</v>
      </c>
      <c r="G592" s="3">
        <v>13</v>
      </c>
      <c r="H592">
        <v>1616</v>
      </c>
      <c r="I592" t="s">
        <v>181</v>
      </c>
      <c r="J592">
        <v>16</v>
      </c>
      <c r="K592">
        <v>18</v>
      </c>
      <c r="L592">
        <v>5</v>
      </c>
      <c r="M592">
        <v>3</v>
      </c>
    </row>
    <row r="593" spans="1:13" x14ac:dyDescent="0.25">
      <c r="A593">
        <v>592</v>
      </c>
      <c r="B593">
        <v>39</v>
      </c>
      <c r="C593">
        <v>8</v>
      </c>
      <c r="D593" s="2">
        <v>42171.821875000001</v>
      </c>
      <c r="E593" t="s">
        <v>179</v>
      </c>
      <c r="F593">
        <v>270</v>
      </c>
      <c r="G593" s="3">
        <v>14</v>
      </c>
      <c r="H593">
        <v>1680</v>
      </c>
      <c r="I593" t="s">
        <v>181</v>
      </c>
      <c r="J593">
        <v>10</v>
      </c>
      <c r="K593">
        <v>19</v>
      </c>
      <c r="L593">
        <v>11</v>
      </c>
      <c r="M593">
        <v>2</v>
      </c>
    </row>
    <row r="594" spans="1:13" x14ac:dyDescent="0.25">
      <c r="A594">
        <v>593</v>
      </c>
      <c r="B594">
        <v>39</v>
      </c>
      <c r="C594">
        <v>9</v>
      </c>
      <c r="D594" s="2">
        <v>42178.694027777776</v>
      </c>
      <c r="E594" t="s">
        <v>179</v>
      </c>
      <c r="F594">
        <v>30</v>
      </c>
      <c r="G594" s="3">
        <v>15</v>
      </c>
      <c r="H594">
        <v>1578</v>
      </c>
      <c r="I594" t="s">
        <v>181</v>
      </c>
      <c r="J594">
        <v>18</v>
      </c>
      <c r="K594">
        <v>11</v>
      </c>
      <c r="L594">
        <v>3</v>
      </c>
      <c r="M594">
        <v>10</v>
      </c>
    </row>
    <row r="595" spans="1:13" x14ac:dyDescent="0.25">
      <c r="A595">
        <v>594</v>
      </c>
      <c r="B595">
        <v>39</v>
      </c>
      <c r="C595">
        <v>6</v>
      </c>
      <c r="D595" s="2">
        <v>42175.275219907409</v>
      </c>
      <c r="E595" t="s">
        <v>179</v>
      </c>
      <c r="F595">
        <v>120</v>
      </c>
      <c r="G595" s="3">
        <v>16</v>
      </c>
      <c r="H595">
        <v>0</v>
      </c>
      <c r="I595" t="s">
        <v>182</v>
      </c>
      <c r="J595">
        <v>0</v>
      </c>
      <c r="K595">
        <v>0</v>
      </c>
      <c r="L595">
        <v>0</v>
      </c>
      <c r="M595">
        <v>0</v>
      </c>
    </row>
    <row r="596" spans="1:13" x14ac:dyDescent="0.25">
      <c r="A596">
        <v>595</v>
      </c>
      <c r="B596">
        <v>39</v>
      </c>
      <c r="C596">
        <v>11</v>
      </c>
      <c r="D596" s="2">
        <v>42176.53597222222</v>
      </c>
      <c r="E596" t="s">
        <v>179</v>
      </c>
      <c r="F596">
        <v>60</v>
      </c>
      <c r="G596" s="3">
        <v>17</v>
      </c>
      <c r="H596">
        <v>1556</v>
      </c>
      <c r="I596" t="s">
        <v>181</v>
      </c>
      <c r="J596">
        <v>19</v>
      </c>
      <c r="K596">
        <v>17</v>
      </c>
      <c r="L596">
        <v>2</v>
      </c>
      <c r="M596">
        <v>4</v>
      </c>
    </row>
    <row r="597" spans="1:13" x14ac:dyDescent="0.25">
      <c r="A597">
        <v>596</v>
      </c>
      <c r="B597">
        <v>39</v>
      </c>
      <c r="C597">
        <v>10</v>
      </c>
      <c r="D597" s="2">
        <v>42172.394259259258</v>
      </c>
      <c r="E597" t="s">
        <v>179</v>
      </c>
      <c r="F597">
        <v>30</v>
      </c>
      <c r="G597" s="3">
        <v>18</v>
      </c>
      <c r="H597">
        <v>1626</v>
      </c>
      <c r="I597" t="s">
        <v>181</v>
      </c>
      <c r="J597">
        <v>14</v>
      </c>
      <c r="K597">
        <v>9</v>
      </c>
      <c r="L597">
        <v>7</v>
      </c>
      <c r="M597">
        <v>12</v>
      </c>
    </row>
    <row r="598" spans="1:13" x14ac:dyDescent="0.25">
      <c r="A598">
        <v>597</v>
      </c>
      <c r="B598">
        <v>40</v>
      </c>
      <c r="C598">
        <v>12</v>
      </c>
      <c r="D598" s="2">
        <v>42181.94091435185</v>
      </c>
      <c r="E598" t="s">
        <v>179</v>
      </c>
      <c r="F598">
        <v>180</v>
      </c>
      <c r="G598" s="3">
        <v>1</v>
      </c>
      <c r="H598">
        <v>1422</v>
      </c>
      <c r="I598" t="s">
        <v>181</v>
      </c>
      <c r="J598">
        <v>12</v>
      </c>
      <c r="K598">
        <v>15</v>
      </c>
      <c r="L598">
        <v>9</v>
      </c>
      <c r="M598">
        <v>6</v>
      </c>
    </row>
    <row r="599" spans="1:13" x14ac:dyDescent="0.25">
      <c r="A599">
        <v>598</v>
      </c>
      <c r="B599">
        <v>40</v>
      </c>
      <c r="C599">
        <v>8</v>
      </c>
      <c r="D599" s="2">
        <v>42185.798692129632</v>
      </c>
      <c r="E599" t="s">
        <v>179</v>
      </c>
      <c r="F599">
        <v>150</v>
      </c>
      <c r="G599" s="3">
        <v>2</v>
      </c>
      <c r="H599">
        <v>1340</v>
      </c>
      <c r="I599" t="s">
        <v>181</v>
      </c>
      <c r="J599">
        <v>18</v>
      </c>
      <c r="K599">
        <v>16</v>
      </c>
      <c r="L599">
        <v>3</v>
      </c>
      <c r="M599">
        <v>5</v>
      </c>
    </row>
    <row r="600" spans="1:13" x14ac:dyDescent="0.25">
      <c r="A600">
        <v>599</v>
      </c>
      <c r="B600">
        <v>40</v>
      </c>
      <c r="C600">
        <v>2</v>
      </c>
      <c r="D600" s="2">
        <v>42179.448645833334</v>
      </c>
      <c r="E600" t="s">
        <v>179</v>
      </c>
      <c r="F600">
        <v>120</v>
      </c>
      <c r="G600" s="3">
        <v>3</v>
      </c>
      <c r="H600">
        <v>1450</v>
      </c>
      <c r="I600" t="s">
        <v>181</v>
      </c>
      <c r="J600">
        <v>10</v>
      </c>
      <c r="K600">
        <v>13</v>
      </c>
      <c r="L600">
        <v>11</v>
      </c>
      <c r="M600">
        <v>8</v>
      </c>
    </row>
    <row r="601" spans="1:13" x14ac:dyDescent="0.25">
      <c r="A601">
        <v>600</v>
      </c>
      <c r="B601">
        <v>40</v>
      </c>
      <c r="C601">
        <v>14</v>
      </c>
      <c r="D601" s="2">
        <v>42184.348611111112</v>
      </c>
      <c r="E601" t="s">
        <v>179</v>
      </c>
      <c r="F601">
        <v>90</v>
      </c>
      <c r="G601" s="3">
        <v>4</v>
      </c>
      <c r="H601">
        <v>0</v>
      </c>
      <c r="I601" t="s">
        <v>182</v>
      </c>
      <c r="J601">
        <v>0</v>
      </c>
      <c r="K601">
        <v>0</v>
      </c>
      <c r="L601">
        <v>0</v>
      </c>
      <c r="M601">
        <v>0</v>
      </c>
    </row>
    <row r="602" spans="1:13" x14ac:dyDescent="0.25">
      <c r="A602">
        <v>601</v>
      </c>
      <c r="B602">
        <v>40</v>
      </c>
      <c r="C602">
        <v>24</v>
      </c>
      <c r="D602" s="2">
        <v>42181.050856481481</v>
      </c>
      <c r="E602" t="s">
        <v>179</v>
      </c>
      <c r="F602">
        <v>60</v>
      </c>
      <c r="G602" s="3">
        <v>5</v>
      </c>
      <c r="H602">
        <v>0</v>
      </c>
      <c r="I602" t="s">
        <v>180</v>
      </c>
      <c r="J602">
        <v>0</v>
      </c>
      <c r="K602">
        <v>0</v>
      </c>
      <c r="L602">
        <v>0</v>
      </c>
      <c r="M602">
        <v>0</v>
      </c>
    </row>
    <row r="603" spans="1:13" x14ac:dyDescent="0.25">
      <c r="A603">
        <v>602</v>
      </c>
      <c r="B603">
        <v>40</v>
      </c>
      <c r="C603">
        <v>3</v>
      </c>
      <c r="D603" s="2">
        <v>42183.876111111109</v>
      </c>
      <c r="E603" t="s">
        <v>179</v>
      </c>
      <c r="F603">
        <v>270</v>
      </c>
      <c r="G603" s="3">
        <v>6</v>
      </c>
      <c r="H603">
        <v>1324</v>
      </c>
      <c r="I603" t="s">
        <v>181</v>
      </c>
      <c r="J603">
        <v>19</v>
      </c>
      <c r="K603">
        <v>20</v>
      </c>
      <c r="L603">
        <v>2</v>
      </c>
      <c r="M603">
        <v>1</v>
      </c>
    </row>
    <row r="604" spans="1:13" x14ac:dyDescent="0.25">
      <c r="A604">
        <v>603</v>
      </c>
      <c r="B604">
        <v>40</v>
      </c>
      <c r="C604">
        <v>25</v>
      </c>
      <c r="D604" s="2">
        <v>42180.108252314814</v>
      </c>
      <c r="E604" t="s">
        <v>179</v>
      </c>
      <c r="F604">
        <v>240</v>
      </c>
      <c r="G604" s="3">
        <v>7</v>
      </c>
      <c r="H604">
        <v>1307</v>
      </c>
      <c r="I604" t="s">
        <v>181</v>
      </c>
      <c r="J604">
        <v>20</v>
      </c>
      <c r="K604">
        <v>19</v>
      </c>
      <c r="L604">
        <v>1</v>
      </c>
      <c r="M604">
        <v>2</v>
      </c>
    </row>
    <row r="605" spans="1:13" x14ac:dyDescent="0.25">
      <c r="A605">
        <v>604</v>
      </c>
      <c r="B605">
        <v>40</v>
      </c>
      <c r="C605">
        <v>9</v>
      </c>
      <c r="D605" s="2">
        <v>42182.048206018517</v>
      </c>
      <c r="E605" t="s">
        <v>179</v>
      </c>
      <c r="F605">
        <v>90</v>
      </c>
      <c r="G605" s="3">
        <v>8</v>
      </c>
      <c r="H605">
        <v>1432</v>
      </c>
      <c r="I605" t="s">
        <v>181</v>
      </c>
      <c r="J605">
        <v>11</v>
      </c>
      <c r="K605">
        <v>12</v>
      </c>
      <c r="L605">
        <v>10</v>
      </c>
      <c r="M605">
        <v>9</v>
      </c>
    </row>
    <row r="606" spans="1:13" x14ac:dyDescent="0.25">
      <c r="A606">
        <v>605</v>
      </c>
      <c r="B606">
        <v>40</v>
      </c>
      <c r="C606">
        <v>7</v>
      </c>
      <c r="D606" s="2">
        <v>42184.311597222222</v>
      </c>
      <c r="E606" t="s">
        <v>179</v>
      </c>
      <c r="F606">
        <v>60</v>
      </c>
      <c r="G606" s="3">
        <v>9</v>
      </c>
      <c r="H606">
        <v>1416</v>
      </c>
      <c r="I606" t="s">
        <v>181</v>
      </c>
      <c r="J606">
        <v>13</v>
      </c>
      <c r="K606">
        <v>11</v>
      </c>
      <c r="L606">
        <v>8</v>
      </c>
      <c r="M606">
        <v>10</v>
      </c>
    </row>
    <row r="607" spans="1:13" x14ac:dyDescent="0.25">
      <c r="A607">
        <v>606</v>
      </c>
      <c r="B607">
        <v>40</v>
      </c>
      <c r="C607">
        <v>28</v>
      </c>
      <c r="D607" s="2">
        <v>42178.501562500001</v>
      </c>
      <c r="E607" t="s">
        <v>179</v>
      </c>
      <c r="F607">
        <v>30</v>
      </c>
      <c r="G607" s="3">
        <v>10</v>
      </c>
      <c r="H607">
        <v>1399</v>
      </c>
      <c r="I607" t="s">
        <v>181</v>
      </c>
      <c r="J607">
        <v>14</v>
      </c>
      <c r="K607">
        <v>10</v>
      </c>
      <c r="L607">
        <v>7</v>
      </c>
      <c r="M607">
        <v>11</v>
      </c>
    </row>
    <row r="608" spans="1:13" x14ac:dyDescent="0.25">
      <c r="A608">
        <v>607</v>
      </c>
      <c r="B608">
        <v>40</v>
      </c>
      <c r="C608">
        <v>30</v>
      </c>
      <c r="D608" s="2">
        <v>42180.526064814818</v>
      </c>
      <c r="E608" t="s">
        <v>179</v>
      </c>
      <c r="F608">
        <v>240</v>
      </c>
      <c r="G608" s="3">
        <v>11</v>
      </c>
      <c r="H608">
        <v>1383</v>
      </c>
      <c r="I608" t="s">
        <v>181</v>
      </c>
      <c r="J608">
        <v>15</v>
      </c>
      <c r="K608">
        <v>18</v>
      </c>
      <c r="L608">
        <v>6</v>
      </c>
      <c r="M608">
        <v>3</v>
      </c>
    </row>
    <row r="609" spans="1:13" x14ac:dyDescent="0.25">
      <c r="A609">
        <v>608</v>
      </c>
      <c r="B609">
        <v>40</v>
      </c>
      <c r="C609">
        <v>13</v>
      </c>
      <c r="D609" s="2">
        <v>42182.71603009259</v>
      </c>
      <c r="E609" t="s">
        <v>179</v>
      </c>
      <c r="F609">
        <v>180</v>
      </c>
      <c r="G609" s="3">
        <v>12</v>
      </c>
      <c r="H609">
        <v>1366</v>
      </c>
      <c r="I609" t="s">
        <v>181</v>
      </c>
      <c r="J609">
        <v>16</v>
      </c>
      <c r="K609">
        <v>17</v>
      </c>
      <c r="L609">
        <v>5</v>
      </c>
      <c r="M609">
        <v>4</v>
      </c>
    </row>
    <row r="610" spans="1:13" x14ac:dyDescent="0.25">
      <c r="A610">
        <v>609</v>
      </c>
      <c r="B610">
        <v>40</v>
      </c>
      <c r="C610">
        <v>5</v>
      </c>
      <c r="D610" s="2">
        <v>42184.989837962959</v>
      </c>
      <c r="E610" t="s">
        <v>179</v>
      </c>
      <c r="F610">
        <v>60</v>
      </c>
      <c r="G610" s="3">
        <v>13</v>
      </c>
      <c r="H610">
        <v>1350</v>
      </c>
      <c r="I610" t="s">
        <v>181</v>
      </c>
      <c r="J610">
        <v>17</v>
      </c>
      <c r="K610">
        <v>14</v>
      </c>
      <c r="L610">
        <v>4</v>
      </c>
      <c r="M610">
        <v>7</v>
      </c>
    </row>
    <row r="611" spans="1:13" x14ac:dyDescent="0.25">
      <c r="A611">
        <v>610</v>
      </c>
      <c r="B611">
        <v>41</v>
      </c>
      <c r="C611">
        <v>11</v>
      </c>
      <c r="D611" s="2">
        <v>42189.831145833334</v>
      </c>
      <c r="E611" t="s">
        <v>179</v>
      </c>
      <c r="F611">
        <v>0</v>
      </c>
      <c r="G611" s="3">
        <v>1</v>
      </c>
      <c r="H611">
        <v>1382</v>
      </c>
      <c r="I611" t="s">
        <v>181</v>
      </c>
      <c r="J611">
        <v>10</v>
      </c>
      <c r="K611">
        <v>5</v>
      </c>
      <c r="L611">
        <v>11</v>
      </c>
      <c r="M611">
        <v>16</v>
      </c>
    </row>
    <row r="612" spans="1:13" x14ac:dyDescent="0.25">
      <c r="A612">
        <v>611</v>
      </c>
      <c r="B612">
        <v>41</v>
      </c>
      <c r="C612">
        <v>14</v>
      </c>
      <c r="D612" s="2">
        <v>42188.54351851852</v>
      </c>
      <c r="E612" t="s">
        <v>179</v>
      </c>
      <c r="F612">
        <v>60</v>
      </c>
      <c r="G612" s="3">
        <v>2</v>
      </c>
      <c r="H612">
        <v>1365</v>
      </c>
      <c r="I612" t="s">
        <v>181</v>
      </c>
      <c r="J612">
        <v>13</v>
      </c>
      <c r="K612">
        <v>11</v>
      </c>
      <c r="L612">
        <v>8</v>
      </c>
      <c r="M612">
        <v>10</v>
      </c>
    </row>
    <row r="613" spans="1:13" x14ac:dyDescent="0.25">
      <c r="A613">
        <v>612</v>
      </c>
      <c r="B613">
        <v>41</v>
      </c>
      <c r="C613">
        <v>30</v>
      </c>
      <c r="D613" s="2">
        <v>42190.816817129627</v>
      </c>
      <c r="E613" t="s">
        <v>179</v>
      </c>
      <c r="F613">
        <v>30</v>
      </c>
      <c r="G613" s="3">
        <v>3</v>
      </c>
      <c r="H613">
        <v>1348</v>
      </c>
      <c r="I613" t="s">
        <v>181</v>
      </c>
      <c r="J613">
        <v>17</v>
      </c>
      <c r="K613">
        <v>9</v>
      </c>
      <c r="L613">
        <v>4</v>
      </c>
      <c r="M613">
        <v>12</v>
      </c>
    </row>
    <row r="614" spans="1:13" x14ac:dyDescent="0.25">
      <c r="A614">
        <v>613</v>
      </c>
      <c r="B614">
        <v>41</v>
      </c>
      <c r="C614">
        <v>16</v>
      </c>
      <c r="D614" s="2">
        <v>42192.788541666669</v>
      </c>
      <c r="E614" t="s">
        <v>179</v>
      </c>
      <c r="F614">
        <v>0</v>
      </c>
      <c r="G614" s="3">
        <v>4</v>
      </c>
      <c r="H614">
        <v>1332</v>
      </c>
      <c r="I614" t="s">
        <v>181</v>
      </c>
      <c r="J614">
        <v>19</v>
      </c>
      <c r="K614">
        <v>7</v>
      </c>
      <c r="L614">
        <v>2</v>
      </c>
      <c r="M614">
        <v>14</v>
      </c>
    </row>
    <row r="615" spans="1:13" x14ac:dyDescent="0.25">
      <c r="A615">
        <v>614</v>
      </c>
      <c r="B615">
        <v>41</v>
      </c>
      <c r="C615">
        <v>21</v>
      </c>
      <c r="D615" s="2">
        <v>42186.020162037035</v>
      </c>
      <c r="E615" t="s">
        <v>179</v>
      </c>
      <c r="F615">
        <v>180</v>
      </c>
      <c r="G615" s="3">
        <v>5</v>
      </c>
      <c r="H615">
        <v>0</v>
      </c>
      <c r="I615" t="s">
        <v>180</v>
      </c>
      <c r="J615">
        <v>0</v>
      </c>
      <c r="K615">
        <v>0</v>
      </c>
      <c r="L615">
        <v>0</v>
      </c>
      <c r="M615">
        <v>0</v>
      </c>
    </row>
    <row r="616" spans="1:13" x14ac:dyDescent="0.25">
      <c r="A616">
        <v>615</v>
      </c>
      <c r="B616">
        <v>41</v>
      </c>
      <c r="C616">
        <v>17</v>
      </c>
      <c r="D616" s="2">
        <v>42187.017523148148</v>
      </c>
      <c r="E616" t="s">
        <v>179</v>
      </c>
      <c r="F616">
        <v>0</v>
      </c>
      <c r="G616" s="3">
        <v>6</v>
      </c>
      <c r="H616">
        <v>0</v>
      </c>
      <c r="I616" t="s">
        <v>180</v>
      </c>
      <c r="J616">
        <v>0</v>
      </c>
      <c r="K616">
        <v>0</v>
      </c>
      <c r="L616">
        <v>0</v>
      </c>
      <c r="M616">
        <v>0</v>
      </c>
    </row>
    <row r="617" spans="1:13" x14ac:dyDescent="0.25">
      <c r="A617">
        <v>616</v>
      </c>
      <c r="B617">
        <v>41</v>
      </c>
      <c r="C617">
        <v>15</v>
      </c>
      <c r="D617" s="2">
        <v>42189.174953703703</v>
      </c>
      <c r="E617" t="s">
        <v>179</v>
      </c>
      <c r="F617">
        <v>180</v>
      </c>
      <c r="G617" s="3">
        <v>7</v>
      </c>
      <c r="H617">
        <v>0</v>
      </c>
      <c r="I617" t="s">
        <v>182</v>
      </c>
      <c r="J617">
        <v>0</v>
      </c>
      <c r="K617">
        <v>0</v>
      </c>
      <c r="L617">
        <v>0</v>
      </c>
      <c r="M617">
        <v>0</v>
      </c>
    </row>
    <row r="618" spans="1:13" x14ac:dyDescent="0.25">
      <c r="A618">
        <v>617</v>
      </c>
      <c r="B618">
        <v>41</v>
      </c>
      <c r="C618">
        <v>25</v>
      </c>
      <c r="D618" s="2">
        <v>42192.157719907409</v>
      </c>
      <c r="E618" t="s">
        <v>179</v>
      </c>
      <c r="F618">
        <v>270</v>
      </c>
      <c r="G618" s="3">
        <v>8</v>
      </c>
      <c r="H618">
        <v>1350</v>
      </c>
      <c r="I618" t="s">
        <v>181</v>
      </c>
      <c r="J618">
        <v>16</v>
      </c>
      <c r="K618">
        <v>20</v>
      </c>
      <c r="L618">
        <v>5</v>
      </c>
      <c r="M618">
        <v>1</v>
      </c>
    </row>
    <row r="619" spans="1:13" x14ac:dyDescent="0.25">
      <c r="A619">
        <v>618</v>
      </c>
      <c r="B619">
        <v>41</v>
      </c>
      <c r="C619">
        <v>12</v>
      </c>
      <c r="D619" s="2">
        <v>42186.057870370372</v>
      </c>
      <c r="E619" t="s">
        <v>179</v>
      </c>
      <c r="F619">
        <v>240</v>
      </c>
      <c r="G619" s="3">
        <v>9</v>
      </c>
      <c r="H619">
        <v>0</v>
      </c>
      <c r="I619" t="s">
        <v>182</v>
      </c>
      <c r="J619">
        <v>0</v>
      </c>
      <c r="K619">
        <v>0</v>
      </c>
      <c r="L619">
        <v>0</v>
      </c>
      <c r="M619">
        <v>0</v>
      </c>
    </row>
    <row r="620" spans="1:13" x14ac:dyDescent="0.25">
      <c r="A620">
        <v>619</v>
      </c>
      <c r="B620">
        <v>41</v>
      </c>
      <c r="C620">
        <v>18</v>
      </c>
      <c r="D620" s="2">
        <v>42191.705543981479</v>
      </c>
      <c r="E620" t="s">
        <v>179</v>
      </c>
      <c r="F620">
        <v>60</v>
      </c>
      <c r="G620" s="3">
        <v>10</v>
      </c>
      <c r="H620">
        <v>1486</v>
      </c>
      <c r="I620" t="s">
        <v>181</v>
      </c>
      <c r="J620">
        <v>2</v>
      </c>
      <c r="K620">
        <v>3</v>
      </c>
      <c r="L620">
        <v>19</v>
      </c>
      <c r="M620">
        <v>18</v>
      </c>
    </row>
    <row r="621" spans="1:13" x14ac:dyDescent="0.25">
      <c r="A621">
        <v>620</v>
      </c>
      <c r="B621">
        <v>41</v>
      </c>
      <c r="C621">
        <v>4</v>
      </c>
      <c r="D621" s="2">
        <v>42185.981840277775</v>
      </c>
      <c r="E621" t="s">
        <v>179</v>
      </c>
      <c r="F621">
        <v>60</v>
      </c>
      <c r="G621" s="3">
        <v>11</v>
      </c>
      <c r="H621">
        <v>1479</v>
      </c>
      <c r="I621" t="s">
        <v>181</v>
      </c>
      <c r="J621">
        <v>4</v>
      </c>
      <c r="K621">
        <v>4</v>
      </c>
      <c r="L621">
        <v>17</v>
      </c>
      <c r="M621">
        <v>17</v>
      </c>
    </row>
    <row r="622" spans="1:13" x14ac:dyDescent="0.25">
      <c r="A622">
        <v>621</v>
      </c>
      <c r="B622">
        <v>41</v>
      </c>
      <c r="C622">
        <v>27</v>
      </c>
      <c r="D622" s="2">
        <v>42190.268368055556</v>
      </c>
      <c r="E622" t="s">
        <v>179</v>
      </c>
      <c r="F622">
        <v>120</v>
      </c>
      <c r="G622" s="3">
        <v>12</v>
      </c>
      <c r="H622">
        <v>1327</v>
      </c>
      <c r="I622" t="s">
        <v>181</v>
      </c>
      <c r="J622">
        <v>20</v>
      </c>
      <c r="K622">
        <v>15</v>
      </c>
      <c r="L622">
        <v>1</v>
      </c>
      <c r="M622">
        <v>6</v>
      </c>
    </row>
    <row r="623" spans="1:13" x14ac:dyDescent="0.25">
      <c r="A623">
        <v>622</v>
      </c>
      <c r="B623">
        <v>41</v>
      </c>
      <c r="C623">
        <v>8</v>
      </c>
      <c r="D623" s="2">
        <v>42186.794479166667</v>
      </c>
      <c r="E623" t="s">
        <v>179</v>
      </c>
      <c r="F623">
        <v>90</v>
      </c>
      <c r="G623" s="3">
        <v>13</v>
      </c>
      <c r="H623">
        <v>1373</v>
      </c>
      <c r="I623" t="s">
        <v>181</v>
      </c>
      <c r="J623">
        <v>11</v>
      </c>
      <c r="K623">
        <v>13</v>
      </c>
      <c r="L623">
        <v>10</v>
      </c>
      <c r="M623">
        <v>8</v>
      </c>
    </row>
    <row r="624" spans="1:13" x14ac:dyDescent="0.25">
      <c r="A624">
        <v>623</v>
      </c>
      <c r="B624">
        <v>41</v>
      </c>
      <c r="C624">
        <v>28</v>
      </c>
      <c r="D624" s="2">
        <v>42191.123368055552</v>
      </c>
      <c r="E624" t="s">
        <v>179</v>
      </c>
      <c r="F624">
        <v>90</v>
      </c>
      <c r="G624" s="3">
        <v>14</v>
      </c>
      <c r="H624">
        <v>0</v>
      </c>
      <c r="I624" t="s">
        <v>180</v>
      </c>
      <c r="J624">
        <v>0</v>
      </c>
      <c r="K624">
        <v>0</v>
      </c>
      <c r="L624">
        <v>0</v>
      </c>
      <c r="M624">
        <v>0</v>
      </c>
    </row>
    <row r="625" spans="1:13" x14ac:dyDescent="0.25">
      <c r="A625">
        <v>624</v>
      </c>
      <c r="B625">
        <v>41</v>
      </c>
      <c r="C625">
        <v>19</v>
      </c>
      <c r="D625" s="2">
        <v>42190.307384259257</v>
      </c>
      <c r="E625" t="s">
        <v>179</v>
      </c>
      <c r="F625">
        <v>270</v>
      </c>
      <c r="G625" s="3">
        <v>15</v>
      </c>
      <c r="H625">
        <v>1360</v>
      </c>
      <c r="I625" t="s">
        <v>181</v>
      </c>
      <c r="J625">
        <v>15</v>
      </c>
      <c r="K625">
        <v>19</v>
      </c>
      <c r="L625">
        <v>6</v>
      </c>
      <c r="M625">
        <v>2</v>
      </c>
    </row>
    <row r="626" spans="1:13" x14ac:dyDescent="0.25">
      <c r="A626">
        <v>625</v>
      </c>
      <c r="B626">
        <v>41</v>
      </c>
      <c r="C626">
        <v>9</v>
      </c>
      <c r="D626" s="2">
        <v>42192.540219907409</v>
      </c>
      <c r="E626" t="s">
        <v>179</v>
      </c>
      <c r="F626">
        <v>120</v>
      </c>
      <c r="G626" s="3">
        <v>16</v>
      </c>
      <c r="H626">
        <v>1343</v>
      </c>
      <c r="I626" t="s">
        <v>181</v>
      </c>
      <c r="J626">
        <v>18</v>
      </c>
      <c r="K626">
        <v>14</v>
      </c>
      <c r="L626">
        <v>3</v>
      </c>
      <c r="M626">
        <v>7</v>
      </c>
    </row>
    <row r="627" spans="1:13" x14ac:dyDescent="0.25">
      <c r="A627">
        <v>626</v>
      </c>
      <c r="B627">
        <v>41</v>
      </c>
      <c r="C627">
        <v>6</v>
      </c>
      <c r="D627" s="2">
        <v>42187.760740740741</v>
      </c>
      <c r="E627" t="s">
        <v>179</v>
      </c>
      <c r="F627">
        <v>90</v>
      </c>
      <c r="G627" s="3">
        <v>17</v>
      </c>
      <c r="H627">
        <v>0</v>
      </c>
      <c r="I627" t="s">
        <v>182</v>
      </c>
      <c r="J627">
        <v>0</v>
      </c>
      <c r="K627">
        <v>0</v>
      </c>
      <c r="L627">
        <v>0</v>
      </c>
      <c r="M627">
        <v>0</v>
      </c>
    </row>
    <row r="628" spans="1:13" x14ac:dyDescent="0.25">
      <c r="A628">
        <v>627</v>
      </c>
      <c r="B628">
        <v>41</v>
      </c>
      <c r="C628">
        <v>2</v>
      </c>
      <c r="D628" s="2">
        <v>42185.541539351849</v>
      </c>
      <c r="E628" t="s">
        <v>179</v>
      </c>
      <c r="F628">
        <v>240</v>
      </c>
      <c r="G628" s="3">
        <v>18</v>
      </c>
      <c r="H628">
        <v>1425</v>
      </c>
      <c r="I628" t="s">
        <v>181</v>
      </c>
      <c r="J628">
        <v>8</v>
      </c>
      <c r="K628">
        <v>17</v>
      </c>
      <c r="L628">
        <v>13</v>
      </c>
      <c r="M628">
        <v>4</v>
      </c>
    </row>
    <row r="629" spans="1:13" x14ac:dyDescent="0.25">
      <c r="A629">
        <v>628</v>
      </c>
      <c r="B629">
        <v>41</v>
      </c>
      <c r="C629">
        <v>26</v>
      </c>
      <c r="D629" s="2">
        <v>42185.789166666669</v>
      </c>
      <c r="E629" t="s">
        <v>179</v>
      </c>
      <c r="F629">
        <v>90</v>
      </c>
      <c r="G629" s="3">
        <v>19</v>
      </c>
      <c r="H629">
        <v>1414</v>
      </c>
      <c r="I629" t="s">
        <v>181</v>
      </c>
      <c r="J629">
        <v>9</v>
      </c>
      <c r="K629">
        <v>8</v>
      </c>
      <c r="L629">
        <v>12</v>
      </c>
      <c r="M629">
        <v>13</v>
      </c>
    </row>
    <row r="630" spans="1:13" x14ac:dyDescent="0.25">
      <c r="A630">
        <v>629</v>
      </c>
      <c r="B630">
        <v>41</v>
      </c>
      <c r="C630">
        <v>23</v>
      </c>
      <c r="D630" s="2">
        <v>42192.007615740738</v>
      </c>
      <c r="E630" t="s">
        <v>179</v>
      </c>
      <c r="F630">
        <v>150</v>
      </c>
      <c r="G630" s="3">
        <v>20</v>
      </c>
      <c r="H630">
        <v>1454</v>
      </c>
      <c r="I630" t="s">
        <v>181</v>
      </c>
      <c r="J630">
        <v>6</v>
      </c>
      <c r="K630">
        <v>12</v>
      </c>
      <c r="L630">
        <v>15</v>
      </c>
      <c r="M630">
        <v>9</v>
      </c>
    </row>
    <row r="631" spans="1:13" x14ac:dyDescent="0.25">
      <c r="A631">
        <v>630</v>
      </c>
      <c r="B631">
        <v>41</v>
      </c>
      <c r="C631">
        <v>24</v>
      </c>
      <c r="D631" s="2">
        <v>42191.267048611109</v>
      </c>
      <c r="E631" t="s">
        <v>179</v>
      </c>
      <c r="F631">
        <v>30</v>
      </c>
      <c r="G631" s="3">
        <v>21</v>
      </c>
      <c r="H631">
        <v>0</v>
      </c>
      <c r="I631" t="s">
        <v>180</v>
      </c>
      <c r="J631">
        <v>0</v>
      </c>
      <c r="K631">
        <v>0</v>
      </c>
      <c r="L631">
        <v>0</v>
      </c>
      <c r="M631">
        <v>0</v>
      </c>
    </row>
    <row r="632" spans="1:13" x14ac:dyDescent="0.25">
      <c r="A632">
        <v>631</v>
      </c>
      <c r="B632">
        <v>41</v>
      </c>
      <c r="C632">
        <v>5</v>
      </c>
      <c r="D632" s="2">
        <v>42187.697777777779</v>
      </c>
      <c r="E632" t="s">
        <v>179</v>
      </c>
      <c r="F632">
        <v>180</v>
      </c>
      <c r="G632" s="3">
        <v>22</v>
      </c>
      <c r="H632">
        <v>1362</v>
      </c>
      <c r="I632" t="s">
        <v>181</v>
      </c>
      <c r="J632">
        <v>14</v>
      </c>
      <c r="K632">
        <v>18</v>
      </c>
      <c r="L632">
        <v>7</v>
      </c>
      <c r="M632">
        <v>3</v>
      </c>
    </row>
    <row r="633" spans="1:13" x14ac:dyDescent="0.25">
      <c r="A633">
        <v>632</v>
      </c>
      <c r="B633">
        <v>41</v>
      </c>
      <c r="C633">
        <v>22</v>
      </c>
      <c r="D633" s="2">
        <v>42192.610451388886</v>
      </c>
      <c r="E633" t="s">
        <v>179</v>
      </c>
      <c r="F633">
        <v>180</v>
      </c>
      <c r="G633" s="3">
        <v>23</v>
      </c>
      <c r="H633">
        <v>1485</v>
      </c>
      <c r="I633" t="s">
        <v>181</v>
      </c>
      <c r="J633">
        <v>3</v>
      </c>
      <c r="K633">
        <v>11</v>
      </c>
      <c r="L633">
        <v>18</v>
      </c>
      <c r="M633">
        <v>10</v>
      </c>
    </row>
    <row r="634" spans="1:13" x14ac:dyDescent="0.25">
      <c r="A634">
        <v>633</v>
      </c>
      <c r="B634">
        <v>41</v>
      </c>
      <c r="C634">
        <v>20</v>
      </c>
      <c r="D634" s="2">
        <v>42189.804375</v>
      </c>
      <c r="E634" t="s">
        <v>179</v>
      </c>
      <c r="F634">
        <v>270</v>
      </c>
      <c r="G634" s="3">
        <v>24</v>
      </c>
      <c r="H634">
        <v>1463</v>
      </c>
      <c r="I634" t="s">
        <v>181</v>
      </c>
      <c r="J634">
        <v>5</v>
      </c>
      <c r="K634">
        <v>16</v>
      </c>
      <c r="L634">
        <v>16</v>
      </c>
      <c r="M634">
        <v>5</v>
      </c>
    </row>
    <row r="635" spans="1:13" x14ac:dyDescent="0.25">
      <c r="A635">
        <v>634</v>
      </c>
      <c r="B635">
        <v>41</v>
      </c>
      <c r="C635">
        <v>7</v>
      </c>
      <c r="D635" s="2">
        <v>42186.759421296294</v>
      </c>
      <c r="E635" t="s">
        <v>179</v>
      </c>
      <c r="F635">
        <v>0</v>
      </c>
      <c r="G635" s="3">
        <v>25</v>
      </c>
      <c r="H635">
        <v>1441</v>
      </c>
      <c r="I635" t="s">
        <v>181</v>
      </c>
      <c r="J635">
        <v>7</v>
      </c>
      <c r="K635">
        <v>2</v>
      </c>
      <c r="L635">
        <v>14</v>
      </c>
      <c r="M635">
        <v>19</v>
      </c>
    </row>
    <row r="636" spans="1:13" x14ac:dyDescent="0.25">
      <c r="A636">
        <v>635</v>
      </c>
      <c r="B636">
        <v>41</v>
      </c>
      <c r="C636">
        <v>31</v>
      </c>
      <c r="D636" s="2">
        <v>42185.672789351855</v>
      </c>
      <c r="E636" t="s">
        <v>179</v>
      </c>
      <c r="F636">
        <v>0</v>
      </c>
      <c r="G636" s="3">
        <v>26</v>
      </c>
      <c r="H636">
        <v>1367</v>
      </c>
      <c r="I636" t="s">
        <v>181</v>
      </c>
      <c r="J636">
        <v>12</v>
      </c>
      <c r="K636">
        <v>6</v>
      </c>
      <c r="L636">
        <v>9</v>
      </c>
      <c r="M636">
        <v>15</v>
      </c>
    </row>
    <row r="637" spans="1:13" x14ac:dyDescent="0.25">
      <c r="A637">
        <v>636</v>
      </c>
      <c r="B637">
        <v>42</v>
      </c>
      <c r="C637">
        <v>4</v>
      </c>
      <c r="D637" s="2">
        <v>42194.381354166668</v>
      </c>
      <c r="E637" t="s">
        <v>179</v>
      </c>
      <c r="F637">
        <v>180</v>
      </c>
      <c r="G637" s="3">
        <v>1</v>
      </c>
      <c r="H637">
        <v>1404</v>
      </c>
      <c r="I637" t="s">
        <v>181</v>
      </c>
      <c r="J637">
        <v>9</v>
      </c>
      <c r="K637">
        <v>11</v>
      </c>
      <c r="L637">
        <v>12</v>
      </c>
      <c r="M637">
        <v>10</v>
      </c>
    </row>
    <row r="638" spans="1:13" x14ac:dyDescent="0.25">
      <c r="A638">
        <v>637</v>
      </c>
      <c r="B638">
        <v>42</v>
      </c>
      <c r="C638">
        <v>15</v>
      </c>
      <c r="D638" s="2">
        <v>42192.586400462962</v>
      </c>
      <c r="E638" t="s">
        <v>179</v>
      </c>
      <c r="F638">
        <v>180</v>
      </c>
      <c r="G638" s="3">
        <v>2</v>
      </c>
      <c r="H638">
        <v>1331</v>
      </c>
      <c r="I638" t="s">
        <v>181</v>
      </c>
      <c r="J638">
        <v>14</v>
      </c>
      <c r="K638">
        <v>16</v>
      </c>
      <c r="L638">
        <v>7</v>
      </c>
      <c r="M638">
        <v>5</v>
      </c>
    </row>
    <row r="639" spans="1:13" x14ac:dyDescent="0.25">
      <c r="A639">
        <v>638</v>
      </c>
      <c r="B639">
        <v>42</v>
      </c>
      <c r="C639">
        <v>23</v>
      </c>
      <c r="D639" s="2">
        <v>42195.583101851851</v>
      </c>
      <c r="E639" t="s">
        <v>179</v>
      </c>
      <c r="F639">
        <v>270</v>
      </c>
      <c r="G639" s="3">
        <v>3</v>
      </c>
      <c r="H639">
        <v>1310</v>
      </c>
      <c r="I639" t="s">
        <v>181</v>
      </c>
      <c r="J639">
        <v>18</v>
      </c>
      <c r="K639">
        <v>19</v>
      </c>
      <c r="L639">
        <v>3</v>
      </c>
      <c r="M639">
        <v>2</v>
      </c>
    </row>
    <row r="640" spans="1:13" x14ac:dyDescent="0.25">
      <c r="A640">
        <v>639</v>
      </c>
      <c r="B640">
        <v>42</v>
      </c>
      <c r="C640">
        <v>28</v>
      </c>
      <c r="D640" s="2">
        <v>42194.496469907404</v>
      </c>
      <c r="E640" t="s">
        <v>179</v>
      </c>
      <c r="F640">
        <v>30</v>
      </c>
      <c r="G640" s="3">
        <v>4</v>
      </c>
      <c r="H640">
        <v>1430</v>
      </c>
      <c r="I640" t="s">
        <v>181</v>
      </c>
      <c r="J640">
        <v>5</v>
      </c>
      <c r="K640">
        <v>4</v>
      </c>
      <c r="L640">
        <v>16</v>
      </c>
      <c r="M640">
        <v>17</v>
      </c>
    </row>
    <row r="641" spans="1:13" x14ac:dyDescent="0.25">
      <c r="A641">
        <v>640</v>
      </c>
      <c r="B641">
        <v>42</v>
      </c>
      <c r="C641">
        <v>31</v>
      </c>
      <c r="D641" s="2">
        <v>42192.700821759259</v>
      </c>
      <c r="E641" t="s">
        <v>179</v>
      </c>
      <c r="F641">
        <v>90</v>
      </c>
      <c r="G641" s="3">
        <v>5</v>
      </c>
      <c r="H641">
        <v>1409</v>
      </c>
      <c r="I641" t="s">
        <v>181</v>
      </c>
      <c r="J641">
        <v>8</v>
      </c>
      <c r="K641">
        <v>7</v>
      </c>
      <c r="L641">
        <v>13</v>
      </c>
      <c r="M641">
        <v>14</v>
      </c>
    </row>
    <row r="642" spans="1:13" x14ac:dyDescent="0.25">
      <c r="A642">
        <v>641</v>
      </c>
      <c r="B642">
        <v>42</v>
      </c>
      <c r="C642">
        <v>6</v>
      </c>
      <c r="D642" s="2">
        <v>42195.655856481484</v>
      </c>
      <c r="E642" t="s">
        <v>179</v>
      </c>
      <c r="F642">
        <v>90</v>
      </c>
      <c r="G642" s="3">
        <v>6</v>
      </c>
      <c r="H642">
        <v>1387</v>
      </c>
      <c r="I642" t="s">
        <v>181</v>
      </c>
      <c r="J642">
        <v>10</v>
      </c>
      <c r="K642">
        <v>8</v>
      </c>
      <c r="L642">
        <v>11</v>
      </c>
      <c r="M642">
        <v>13</v>
      </c>
    </row>
    <row r="643" spans="1:13" x14ac:dyDescent="0.25">
      <c r="A643">
        <v>642</v>
      </c>
      <c r="B643">
        <v>42</v>
      </c>
      <c r="C643">
        <v>3</v>
      </c>
      <c r="D643" s="2">
        <v>42193.568541666667</v>
      </c>
      <c r="E643" t="s">
        <v>179</v>
      </c>
      <c r="F643">
        <v>150</v>
      </c>
      <c r="G643" s="3">
        <v>7</v>
      </c>
      <c r="H643">
        <v>1315</v>
      </c>
      <c r="I643" t="s">
        <v>181</v>
      </c>
      <c r="J643">
        <v>17</v>
      </c>
      <c r="K643">
        <v>15</v>
      </c>
      <c r="L643">
        <v>4</v>
      </c>
      <c r="M643">
        <v>6</v>
      </c>
    </row>
    <row r="644" spans="1:13" x14ac:dyDescent="0.25">
      <c r="A644">
        <v>643</v>
      </c>
      <c r="B644">
        <v>42</v>
      </c>
      <c r="C644">
        <v>14</v>
      </c>
      <c r="D644" s="2">
        <v>42196.773576388892</v>
      </c>
      <c r="E644" t="s">
        <v>179</v>
      </c>
      <c r="F644">
        <v>240</v>
      </c>
      <c r="G644" s="3">
        <v>8</v>
      </c>
      <c r="H644">
        <v>1293</v>
      </c>
      <c r="I644" t="s">
        <v>181</v>
      </c>
      <c r="J644">
        <v>19</v>
      </c>
      <c r="K644">
        <v>18</v>
      </c>
      <c r="L644">
        <v>2</v>
      </c>
      <c r="M644">
        <v>3</v>
      </c>
    </row>
    <row r="645" spans="1:13" x14ac:dyDescent="0.25">
      <c r="A645">
        <v>644</v>
      </c>
      <c r="B645">
        <v>42</v>
      </c>
      <c r="C645">
        <v>17</v>
      </c>
      <c r="D645" s="2">
        <v>42195.727916666663</v>
      </c>
      <c r="E645" t="s">
        <v>179</v>
      </c>
      <c r="F645">
        <v>240</v>
      </c>
      <c r="G645" s="3">
        <v>9</v>
      </c>
      <c r="H645">
        <v>1414</v>
      </c>
      <c r="I645" t="s">
        <v>181</v>
      </c>
      <c r="J645">
        <v>7</v>
      </c>
      <c r="K645">
        <v>13</v>
      </c>
      <c r="L645">
        <v>14</v>
      </c>
      <c r="M645">
        <v>8</v>
      </c>
    </row>
    <row r="646" spans="1:13" x14ac:dyDescent="0.25">
      <c r="A646">
        <v>645</v>
      </c>
      <c r="B646">
        <v>42</v>
      </c>
      <c r="C646">
        <v>22</v>
      </c>
      <c r="D646" s="2">
        <v>42193.641296296293</v>
      </c>
      <c r="E646" t="s">
        <v>179</v>
      </c>
      <c r="F646">
        <v>300</v>
      </c>
      <c r="G646" s="3">
        <v>10</v>
      </c>
      <c r="H646">
        <v>0</v>
      </c>
      <c r="I646" t="s">
        <v>182</v>
      </c>
      <c r="J646">
        <v>0</v>
      </c>
      <c r="K646">
        <v>0</v>
      </c>
      <c r="L646">
        <v>0</v>
      </c>
      <c r="M646">
        <v>0</v>
      </c>
    </row>
    <row r="647" spans="1:13" x14ac:dyDescent="0.25">
      <c r="A647">
        <v>646</v>
      </c>
      <c r="B647">
        <v>42</v>
      </c>
      <c r="C647">
        <v>20</v>
      </c>
      <c r="D647" s="2">
        <v>42194.952986111108</v>
      </c>
      <c r="E647" t="s">
        <v>179</v>
      </c>
      <c r="F647">
        <v>240</v>
      </c>
      <c r="G647" s="3">
        <v>11</v>
      </c>
      <c r="H647">
        <v>1327</v>
      </c>
      <c r="I647" t="s">
        <v>181</v>
      </c>
      <c r="J647">
        <v>15</v>
      </c>
      <c r="K647">
        <v>17</v>
      </c>
      <c r="L647">
        <v>6</v>
      </c>
      <c r="M647">
        <v>4</v>
      </c>
    </row>
    <row r="648" spans="1:13" x14ac:dyDescent="0.25">
      <c r="A648">
        <v>647</v>
      </c>
      <c r="B648">
        <v>42</v>
      </c>
      <c r="C648">
        <v>21</v>
      </c>
      <c r="D648" s="2">
        <v>42194.533483796295</v>
      </c>
      <c r="E648" t="s">
        <v>179</v>
      </c>
      <c r="F648">
        <v>60</v>
      </c>
      <c r="G648" s="3">
        <v>12</v>
      </c>
      <c r="H648">
        <v>0</v>
      </c>
      <c r="I648" t="s">
        <v>182</v>
      </c>
      <c r="J648">
        <v>0</v>
      </c>
      <c r="K648">
        <v>0</v>
      </c>
      <c r="L648">
        <v>0</v>
      </c>
      <c r="M648">
        <v>0</v>
      </c>
    </row>
    <row r="649" spans="1:13" x14ac:dyDescent="0.25">
      <c r="A649">
        <v>648</v>
      </c>
      <c r="B649">
        <v>42</v>
      </c>
      <c r="C649">
        <v>19</v>
      </c>
      <c r="D649" s="2">
        <v>42194.099814814814</v>
      </c>
      <c r="E649" t="s">
        <v>179</v>
      </c>
      <c r="F649">
        <v>30</v>
      </c>
      <c r="G649" s="3">
        <v>13</v>
      </c>
      <c r="H649">
        <v>1319</v>
      </c>
      <c r="I649" t="s">
        <v>181</v>
      </c>
      <c r="J649">
        <v>16</v>
      </c>
      <c r="K649">
        <v>10</v>
      </c>
      <c r="L649">
        <v>5</v>
      </c>
      <c r="M649">
        <v>11</v>
      </c>
    </row>
    <row r="650" spans="1:13" x14ac:dyDescent="0.25">
      <c r="A650">
        <v>649</v>
      </c>
      <c r="B650">
        <v>42</v>
      </c>
      <c r="C650">
        <v>9</v>
      </c>
      <c r="D650" s="2">
        <v>42196.999965277777</v>
      </c>
      <c r="E650" t="s">
        <v>179</v>
      </c>
      <c r="F650">
        <v>0</v>
      </c>
      <c r="G650" s="3">
        <v>14</v>
      </c>
      <c r="H650">
        <v>0</v>
      </c>
      <c r="I650" t="s">
        <v>182</v>
      </c>
      <c r="J650">
        <v>0</v>
      </c>
      <c r="K650">
        <v>0</v>
      </c>
      <c r="L650">
        <v>0</v>
      </c>
      <c r="M650">
        <v>0</v>
      </c>
    </row>
    <row r="651" spans="1:13" x14ac:dyDescent="0.25">
      <c r="A651">
        <v>650</v>
      </c>
      <c r="B651">
        <v>42</v>
      </c>
      <c r="C651">
        <v>16</v>
      </c>
      <c r="D651" s="2">
        <v>42195.358043981483</v>
      </c>
      <c r="E651" t="s">
        <v>179</v>
      </c>
      <c r="F651">
        <v>270</v>
      </c>
      <c r="G651" s="3">
        <v>15</v>
      </c>
      <c r="H651">
        <v>1447</v>
      </c>
      <c r="I651" t="s">
        <v>181</v>
      </c>
      <c r="J651">
        <v>3</v>
      </c>
      <c r="K651">
        <v>12</v>
      </c>
      <c r="L651">
        <v>18</v>
      </c>
      <c r="M651">
        <v>9</v>
      </c>
    </row>
    <row r="652" spans="1:13" x14ac:dyDescent="0.25">
      <c r="A652">
        <v>651</v>
      </c>
      <c r="B652">
        <v>42</v>
      </c>
      <c r="C652">
        <v>30</v>
      </c>
      <c r="D652" s="2">
        <v>42193.645254629628</v>
      </c>
      <c r="E652" t="s">
        <v>179</v>
      </c>
      <c r="F652">
        <v>270</v>
      </c>
      <c r="G652" s="3">
        <v>16</v>
      </c>
      <c r="H652">
        <v>1440</v>
      </c>
      <c r="I652" t="s">
        <v>181</v>
      </c>
      <c r="J652">
        <v>4</v>
      </c>
      <c r="K652">
        <v>14</v>
      </c>
      <c r="L652">
        <v>17</v>
      </c>
      <c r="M652">
        <v>7</v>
      </c>
    </row>
    <row r="653" spans="1:13" x14ac:dyDescent="0.25">
      <c r="A653">
        <v>652</v>
      </c>
      <c r="B653">
        <v>42</v>
      </c>
      <c r="C653">
        <v>13</v>
      </c>
      <c r="D653" s="2">
        <v>42196.182476851849</v>
      </c>
      <c r="E653" t="s">
        <v>179</v>
      </c>
      <c r="F653">
        <v>0</v>
      </c>
      <c r="G653" s="3">
        <v>17</v>
      </c>
      <c r="H653">
        <v>1292</v>
      </c>
      <c r="I653" t="s">
        <v>181</v>
      </c>
      <c r="J653">
        <v>20</v>
      </c>
      <c r="K653">
        <v>9</v>
      </c>
      <c r="L653">
        <v>1</v>
      </c>
      <c r="M653">
        <v>12</v>
      </c>
    </row>
    <row r="654" spans="1:13" x14ac:dyDescent="0.25">
      <c r="A654">
        <v>653</v>
      </c>
      <c r="B654">
        <v>42</v>
      </c>
      <c r="C654">
        <v>12</v>
      </c>
      <c r="D654" s="2">
        <v>42194.458773148152</v>
      </c>
      <c r="E654" t="s">
        <v>179</v>
      </c>
      <c r="F654">
        <v>300</v>
      </c>
      <c r="G654" s="3">
        <v>18</v>
      </c>
      <c r="H654">
        <v>1336</v>
      </c>
      <c r="I654" t="s">
        <v>181</v>
      </c>
      <c r="J654">
        <v>13</v>
      </c>
      <c r="K654">
        <v>20</v>
      </c>
      <c r="L654">
        <v>8</v>
      </c>
      <c r="M654">
        <v>1</v>
      </c>
    </row>
    <row r="655" spans="1:13" x14ac:dyDescent="0.25">
      <c r="A655">
        <v>654</v>
      </c>
      <c r="B655">
        <v>42</v>
      </c>
      <c r="C655">
        <v>1</v>
      </c>
      <c r="D655" s="2">
        <v>42195.03696759259</v>
      </c>
      <c r="E655" t="s">
        <v>179</v>
      </c>
      <c r="F655">
        <v>30</v>
      </c>
      <c r="G655" s="3">
        <v>19</v>
      </c>
      <c r="H655">
        <v>1381</v>
      </c>
      <c r="I655" t="s">
        <v>181</v>
      </c>
      <c r="J655">
        <v>11</v>
      </c>
      <c r="K655">
        <v>5</v>
      </c>
      <c r="L655">
        <v>10</v>
      </c>
      <c r="M655">
        <v>16</v>
      </c>
    </row>
    <row r="656" spans="1:13" x14ac:dyDescent="0.25">
      <c r="A656">
        <v>655</v>
      </c>
      <c r="B656">
        <v>42</v>
      </c>
      <c r="C656">
        <v>29</v>
      </c>
      <c r="D656" s="2">
        <v>42193.271412037036</v>
      </c>
      <c r="E656" t="s">
        <v>179</v>
      </c>
      <c r="F656">
        <v>30</v>
      </c>
      <c r="G656" s="3">
        <v>20</v>
      </c>
      <c r="H656">
        <v>1374</v>
      </c>
      <c r="I656" t="s">
        <v>181</v>
      </c>
      <c r="J656">
        <v>12</v>
      </c>
      <c r="K656">
        <v>6</v>
      </c>
      <c r="L656">
        <v>9</v>
      </c>
      <c r="M656">
        <v>15</v>
      </c>
    </row>
    <row r="657" spans="1:13" x14ac:dyDescent="0.25">
      <c r="A657">
        <v>656</v>
      </c>
      <c r="B657">
        <v>42</v>
      </c>
      <c r="C657">
        <v>25</v>
      </c>
      <c r="D657" s="2">
        <v>42196.850300925929</v>
      </c>
      <c r="E657" t="s">
        <v>179</v>
      </c>
      <c r="F657">
        <v>0</v>
      </c>
      <c r="G657" s="3">
        <v>21</v>
      </c>
      <c r="H657">
        <v>1419</v>
      </c>
      <c r="I657" t="s">
        <v>181</v>
      </c>
      <c r="J657">
        <v>6</v>
      </c>
      <c r="K657">
        <v>3</v>
      </c>
      <c r="L657">
        <v>15</v>
      </c>
      <c r="M657">
        <v>18</v>
      </c>
    </row>
    <row r="658" spans="1:13" x14ac:dyDescent="0.25">
      <c r="A658">
        <v>657</v>
      </c>
      <c r="B658">
        <v>42</v>
      </c>
      <c r="C658">
        <v>8</v>
      </c>
      <c r="D658" s="2">
        <v>42194.095347222225</v>
      </c>
      <c r="E658" t="s">
        <v>179</v>
      </c>
      <c r="F658">
        <v>60</v>
      </c>
      <c r="G658" s="3">
        <v>22</v>
      </c>
      <c r="H658">
        <v>0</v>
      </c>
      <c r="I658" t="s">
        <v>180</v>
      </c>
      <c r="J658">
        <v>0</v>
      </c>
      <c r="K658">
        <v>0</v>
      </c>
      <c r="L658">
        <v>0</v>
      </c>
      <c r="M658">
        <v>0</v>
      </c>
    </row>
    <row r="659" spans="1:13" x14ac:dyDescent="0.25">
      <c r="A659">
        <v>658</v>
      </c>
      <c r="B659">
        <v>43</v>
      </c>
      <c r="C659">
        <v>24</v>
      </c>
      <c r="D659" s="2">
        <v>42201.09175925926</v>
      </c>
      <c r="E659" t="s">
        <v>179</v>
      </c>
      <c r="F659">
        <v>90</v>
      </c>
      <c r="G659" s="3">
        <v>1</v>
      </c>
      <c r="H659">
        <v>1569</v>
      </c>
      <c r="I659" t="s">
        <v>181</v>
      </c>
      <c r="J659">
        <v>19</v>
      </c>
      <c r="K659">
        <v>20</v>
      </c>
      <c r="L659">
        <v>2</v>
      </c>
      <c r="M659">
        <v>1</v>
      </c>
    </row>
    <row r="660" spans="1:13" x14ac:dyDescent="0.25">
      <c r="A660">
        <v>659</v>
      </c>
      <c r="B660">
        <v>43</v>
      </c>
      <c r="C660">
        <v>12</v>
      </c>
      <c r="D660" s="2">
        <v>42196.324780092589</v>
      </c>
      <c r="E660" t="s">
        <v>179</v>
      </c>
      <c r="F660">
        <v>60</v>
      </c>
      <c r="G660" s="3">
        <v>2</v>
      </c>
      <c r="H660">
        <v>1549</v>
      </c>
      <c r="I660" t="s">
        <v>181</v>
      </c>
      <c r="J660">
        <v>20</v>
      </c>
      <c r="K660">
        <v>19</v>
      </c>
      <c r="L660">
        <v>1</v>
      </c>
      <c r="M660">
        <v>2</v>
      </c>
    </row>
    <row r="661" spans="1:13" x14ac:dyDescent="0.25">
      <c r="A661">
        <v>660</v>
      </c>
      <c r="B661">
        <v>43</v>
      </c>
      <c r="C661">
        <v>5</v>
      </c>
      <c r="D661" s="2">
        <v>42198.556909722225</v>
      </c>
      <c r="E661" t="s">
        <v>179</v>
      </c>
      <c r="F661">
        <v>270</v>
      </c>
      <c r="G661" s="3">
        <v>3</v>
      </c>
      <c r="H661">
        <v>1761</v>
      </c>
      <c r="I661" t="s">
        <v>181</v>
      </c>
      <c r="J661">
        <v>16</v>
      </c>
      <c r="K661">
        <v>18</v>
      </c>
      <c r="L661">
        <v>5</v>
      </c>
      <c r="M661">
        <v>3</v>
      </c>
    </row>
    <row r="662" spans="1:13" x14ac:dyDescent="0.25">
      <c r="A662">
        <v>661</v>
      </c>
      <c r="B662">
        <v>43</v>
      </c>
      <c r="C662">
        <v>3</v>
      </c>
      <c r="D662" s="2">
        <v>42199.788356481484</v>
      </c>
      <c r="E662" t="s">
        <v>179</v>
      </c>
      <c r="F662">
        <v>240</v>
      </c>
      <c r="G662" s="3">
        <v>4</v>
      </c>
      <c r="H662">
        <v>1742</v>
      </c>
      <c r="I662" t="s">
        <v>181</v>
      </c>
      <c r="J662">
        <v>17</v>
      </c>
      <c r="K662">
        <v>16</v>
      </c>
      <c r="L662">
        <v>4</v>
      </c>
      <c r="M662">
        <v>5</v>
      </c>
    </row>
    <row r="663" spans="1:13" x14ac:dyDescent="0.25">
      <c r="A663">
        <v>662</v>
      </c>
      <c r="B663">
        <v>43</v>
      </c>
      <c r="C663">
        <v>17</v>
      </c>
      <c r="D663" s="2">
        <v>42201.760266203702</v>
      </c>
      <c r="E663" t="s">
        <v>179</v>
      </c>
      <c r="F663">
        <v>90</v>
      </c>
      <c r="G663" s="3">
        <v>5</v>
      </c>
      <c r="H663">
        <v>0</v>
      </c>
      <c r="I663" t="s">
        <v>180</v>
      </c>
      <c r="J663">
        <v>0</v>
      </c>
      <c r="K663">
        <v>0</v>
      </c>
      <c r="L663">
        <v>0</v>
      </c>
      <c r="M663">
        <v>0</v>
      </c>
    </row>
    <row r="664" spans="1:13" x14ac:dyDescent="0.25">
      <c r="A664">
        <v>663</v>
      </c>
      <c r="B664">
        <v>43</v>
      </c>
      <c r="C664">
        <v>20</v>
      </c>
      <c r="D664" s="2">
        <v>42201.757627314815</v>
      </c>
      <c r="E664" t="s">
        <v>179</v>
      </c>
      <c r="F664">
        <v>270</v>
      </c>
      <c r="G664" s="3">
        <v>6</v>
      </c>
      <c r="H664">
        <v>1761</v>
      </c>
      <c r="I664" t="s">
        <v>181</v>
      </c>
      <c r="J664">
        <v>16</v>
      </c>
      <c r="K664">
        <v>18</v>
      </c>
      <c r="L664">
        <v>5</v>
      </c>
      <c r="M664">
        <v>3</v>
      </c>
    </row>
    <row r="665" spans="1:13" x14ac:dyDescent="0.25">
      <c r="A665">
        <v>664</v>
      </c>
      <c r="B665">
        <v>43</v>
      </c>
      <c r="C665">
        <v>11</v>
      </c>
      <c r="D665" s="2">
        <v>42201.695289351854</v>
      </c>
      <c r="E665" t="s">
        <v>179</v>
      </c>
      <c r="F665">
        <v>90</v>
      </c>
      <c r="G665" s="3">
        <v>7</v>
      </c>
      <c r="H665">
        <v>1667</v>
      </c>
      <c r="I665" t="s">
        <v>181</v>
      </c>
      <c r="J665">
        <v>18</v>
      </c>
      <c r="K665">
        <v>15</v>
      </c>
      <c r="L665">
        <v>3</v>
      </c>
      <c r="M665">
        <v>6</v>
      </c>
    </row>
    <row r="666" spans="1:13" x14ac:dyDescent="0.25">
      <c r="A666">
        <v>665</v>
      </c>
      <c r="B666">
        <v>44</v>
      </c>
      <c r="C666">
        <v>7</v>
      </c>
      <c r="D666" s="2">
        <v>42201.175740740742</v>
      </c>
      <c r="E666" t="s">
        <v>179</v>
      </c>
      <c r="F666">
        <v>150</v>
      </c>
      <c r="G666" s="3">
        <v>1</v>
      </c>
      <c r="H666">
        <v>1807</v>
      </c>
      <c r="I666" t="s">
        <v>181</v>
      </c>
      <c r="J666">
        <v>12</v>
      </c>
      <c r="K666">
        <v>10</v>
      </c>
      <c r="L666">
        <v>9</v>
      </c>
      <c r="M666">
        <v>11</v>
      </c>
    </row>
    <row r="667" spans="1:13" x14ac:dyDescent="0.25">
      <c r="A667">
        <v>666</v>
      </c>
      <c r="B667">
        <v>44</v>
      </c>
      <c r="C667">
        <v>3</v>
      </c>
      <c r="D667" s="2">
        <v>42203.103680555556</v>
      </c>
      <c r="E667" t="s">
        <v>179</v>
      </c>
      <c r="F667">
        <v>30</v>
      </c>
      <c r="G667" s="3">
        <v>2</v>
      </c>
      <c r="H667">
        <v>0</v>
      </c>
      <c r="I667" t="s">
        <v>180</v>
      </c>
      <c r="J667">
        <v>0</v>
      </c>
      <c r="K667">
        <v>0</v>
      </c>
      <c r="L667">
        <v>0</v>
      </c>
      <c r="M667">
        <v>0</v>
      </c>
    </row>
    <row r="668" spans="1:13" x14ac:dyDescent="0.25">
      <c r="A668">
        <v>667</v>
      </c>
      <c r="B668">
        <v>44</v>
      </c>
      <c r="C668">
        <v>16</v>
      </c>
      <c r="D668" s="2">
        <v>42205.260416666664</v>
      </c>
      <c r="E668" t="s">
        <v>179</v>
      </c>
      <c r="F668">
        <v>240</v>
      </c>
      <c r="G668" s="3">
        <v>3</v>
      </c>
      <c r="H668">
        <v>0</v>
      </c>
      <c r="I668" t="s">
        <v>182</v>
      </c>
      <c r="J668">
        <v>0</v>
      </c>
      <c r="K668">
        <v>0</v>
      </c>
      <c r="L668">
        <v>0</v>
      </c>
      <c r="M668">
        <v>0</v>
      </c>
    </row>
    <row r="669" spans="1:13" x14ac:dyDescent="0.25">
      <c r="A669">
        <v>668</v>
      </c>
      <c r="B669">
        <v>44</v>
      </c>
      <c r="C669">
        <v>12</v>
      </c>
      <c r="D669" s="2">
        <v>42208.243877314817</v>
      </c>
      <c r="E669" t="s">
        <v>179</v>
      </c>
      <c r="F669">
        <v>300</v>
      </c>
      <c r="G669" s="3">
        <v>4</v>
      </c>
      <c r="H669">
        <v>1775</v>
      </c>
      <c r="I669" t="s">
        <v>181</v>
      </c>
      <c r="J669">
        <v>15</v>
      </c>
      <c r="K669">
        <v>19</v>
      </c>
      <c r="L669">
        <v>6</v>
      </c>
      <c r="M669">
        <v>2</v>
      </c>
    </row>
    <row r="670" spans="1:13" x14ac:dyDescent="0.25">
      <c r="A670">
        <v>669</v>
      </c>
      <c r="B670">
        <v>44</v>
      </c>
      <c r="C670">
        <v>26</v>
      </c>
      <c r="D670" s="2">
        <v>42202.102349537039</v>
      </c>
      <c r="E670" t="s">
        <v>179</v>
      </c>
      <c r="F670">
        <v>270</v>
      </c>
      <c r="G670" s="3">
        <v>5</v>
      </c>
      <c r="H670">
        <v>1922</v>
      </c>
      <c r="I670" t="s">
        <v>181</v>
      </c>
      <c r="J670">
        <v>5</v>
      </c>
      <c r="K670">
        <v>11</v>
      </c>
      <c r="L670">
        <v>16</v>
      </c>
      <c r="M670">
        <v>10</v>
      </c>
    </row>
    <row r="671" spans="1:13" x14ac:dyDescent="0.25">
      <c r="A671">
        <v>670</v>
      </c>
      <c r="B671">
        <v>44</v>
      </c>
      <c r="C671">
        <v>25</v>
      </c>
      <c r="D671" s="2">
        <v>42207.960648148146</v>
      </c>
      <c r="E671" t="s">
        <v>179</v>
      </c>
      <c r="F671">
        <v>240</v>
      </c>
      <c r="G671" s="3">
        <v>6</v>
      </c>
      <c r="H671">
        <v>1744</v>
      </c>
      <c r="I671" t="s">
        <v>181</v>
      </c>
      <c r="J671">
        <v>17</v>
      </c>
      <c r="K671">
        <v>18</v>
      </c>
      <c r="L671">
        <v>4</v>
      </c>
      <c r="M671">
        <v>3</v>
      </c>
    </row>
    <row r="672" spans="1:13" x14ac:dyDescent="0.25">
      <c r="A672">
        <v>671</v>
      </c>
      <c r="B672">
        <v>44</v>
      </c>
      <c r="C672">
        <v>18</v>
      </c>
      <c r="D672" s="2">
        <v>42201.621712962966</v>
      </c>
      <c r="E672" t="s">
        <v>179</v>
      </c>
      <c r="F672">
        <v>180</v>
      </c>
      <c r="G672" s="3">
        <v>7</v>
      </c>
      <c r="H672">
        <v>1892</v>
      </c>
      <c r="I672" t="s">
        <v>181</v>
      </c>
      <c r="J672">
        <v>8</v>
      </c>
      <c r="K672">
        <v>8</v>
      </c>
      <c r="L672">
        <v>13</v>
      </c>
      <c r="M672">
        <v>13</v>
      </c>
    </row>
    <row r="673" spans="1:13" x14ac:dyDescent="0.25">
      <c r="A673">
        <v>672</v>
      </c>
      <c r="B673">
        <v>44</v>
      </c>
      <c r="C673">
        <v>11</v>
      </c>
      <c r="D673" s="2">
        <v>42203.521863425929</v>
      </c>
      <c r="E673" t="s">
        <v>179</v>
      </c>
      <c r="F673">
        <v>150</v>
      </c>
      <c r="G673" s="3">
        <v>8</v>
      </c>
      <c r="H673">
        <v>1782</v>
      </c>
      <c r="I673" t="s">
        <v>181</v>
      </c>
      <c r="J673">
        <v>14</v>
      </c>
      <c r="K673">
        <v>12</v>
      </c>
      <c r="L673">
        <v>7</v>
      </c>
      <c r="M673">
        <v>9</v>
      </c>
    </row>
    <row r="674" spans="1:13" x14ac:dyDescent="0.25">
      <c r="A674">
        <v>673</v>
      </c>
      <c r="B674">
        <v>44</v>
      </c>
      <c r="C674">
        <v>5</v>
      </c>
      <c r="D674" s="2">
        <v>42208.12945601852</v>
      </c>
      <c r="E674" t="s">
        <v>179</v>
      </c>
      <c r="F674">
        <v>120</v>
      </c>
      <c r="G674" s="3">
        <v>9</v>
      </c>
      <c r="H674">
        <v>1929</v>
      </c>
      <c r="I674" t="s">
        <v>181</v>
      </c>
      <c r="J674">
        <v>3</v>
      </c>
      <c r="K674">
        <v>5</v>
      </c>
      <c r="L674">
        <v>18</v>
      </c>
      <c r="M674">
        <v>16</v>
      </c>
    </row>
    <row r="675" spans="1:13" x14ac:dyDescent="0.25">
      <c r="A675">
        <v>674</v>
      </c>
      <c r="B675">
        <v>44</v>
      </c>
      <c r="C675">
        <v>20</v>
      </c>
      <c r="D675" s="2">
        <v>42202.029409722221</v>
      </c>
      <c r="E675" t="s">
        <v>179</v>
      </c>
      <c r="F675">
        <v>120</v>
      </c>
      <c r="G675" s="3">
        <v>10</v>
      </c>
      <c r="H675">
        <v>1819</v>
      </c>
      <c r="I675" t="s">
        <v>181</v>
      </c>
      <c r="J675">
        <v>10</v>
      </c>
      <c r="K675">
        <v>9</v>
      </c>
      <c r="L675">
        <v>11</v>
      </c>
      <c r="M675">
        <v>12</v>
      </c>
    </row>
    <row r="676" spans="1:13" x14ac:dyDescent="0.25">
      <c r="A676">
        <v>675</v>
      </c>
      <c r="B676">
        <v>44</v>
      </c>
      <c r="C676">
        <v>29</v>
      </c>
      <c r="D676" s="2">
        <v>42206.88789351852</v>
      </c>
      <c r="E676" t="s">
        <v>179</v>
      </c>
      <c r="F676">
        <v>90</v>
      </c>
      <c r="G676" s="3">
        <v>11</v>
      </c>
      <c r="H676">
        <v>1709</v>
      </c>
      <c r="I676" t="s">
        <v>181</v>
      </c>
      <c r="J676">
        <v>20</v>
      </c>
      <c r="K676">
        <v>13</v>
      </c>
      <c r="L676">
        <v>1</v>
      </c>
      <c r="M676">
        <v>8</v>
      </c>
    </row>
    <row r="677" spans="1:13" x14ac:dyDescent="0.25">
      <c r="A677">
        <v>676</v>
      </c>
      <c r="B677">
        <v>44</v>
      </c>
      <c r="C677">
        <v>1</v>
      </c>
      <c r="D677" s="2">
        <v>42208.507291666669</v>
      </c>
      <c r="E677" t="s">
        <v>179</v>
      </c>
      <c r="F677">
        <v>60</v>
      </c>
      <c r="G677" s="3">
        <v>12</v>
      </c>
      <c r="H677">
        <v>0</v>
      </c>
      <c r="I677" t="s">
        <v>180</v>
      </c>
      <c r="J677">
        <v>0</v>
      </c>
      <c r="K677">
        <v>0</v>
      </c>
      <c r="L677">
        <v>0</v>
      </c>
      <c r="M677">
        <v>0</v>
      </c>
    </row>
    <row r="678" spans="1:13" x14ac:dyDescent="0.25">
      <c r="A678">
        <v>677</v>
      </c>
      <c r="B678">
        <v>44</v>
      </c>
      <c r="C678">
        <v>24</v>
      </c>
      <c r="D678" s="2">
        <v>42207.31417824074</v>
      </c>
      <c r="E678" t="s">
        <v>179</v>
      </c>
      <c r="F678">
        <v>240</v>
      </c>
      <c r="G678" s="3">
        <v>13</v>
      </c>
      <c r="H678">
        <v>1853</v>
      </c>
      <c r="I678" t="s">
        <v>181</v>
      </c>
      <c r="J678">
        <v>9</v>
      </c>
      <c r="K678">
        <v>14</v>
      </c>
      <c r="L678">
        <v>12</v>
      </c>
      <c r="M678">
        <v>7</v>
      </c>
    </row>
    <row r="679" spans="1:13" x14ac:dyDescent="0.25">
      <c r="A679">
        <v>678</v>
      </c>
      <c r="B679">
        <v>44</v>
      </c>
      <c r="C679">
        <v>8</v>
      </c>
      <c r="D679" s="2">
        <v>42201.909050925926</v>
      </c>
      <c r="E679" t="s">
        <v>179</v>
      </c>
      <c r="F679">
        <v>90</v>
      </c>
      <c r="G679" s="3">
        <v>14</v>
      </c>
      <c r="H679">
        <v>1919</v>
      </c>
      <c r="I679" t="s">
        <v>181</v>
      </c>
      <c r="J679">
        <v>6</v>
      </c>
      <c r="K679">
        <v>3</v>
      </c>
      <c r="L679">
        <v>15</v>
      </c>
      <c r="M679">
        <v>18</v>
      </c>
    </row>
    <row r="680" spans="1:13" x14ac:dyDescent="0.25">
      <c r="A680">
        <v>679</v>
      </c>
      <c r="B680">
        <v>44</v>
      </c>
      <c r="C680">
        <v>28</v>
      </c>
      <c r="D680" s="2">
        <v>42201.474259259259</v>
      </c>
      <c r="E680" t="s">
        <v>179</v>
      </c>
      <c r="F680">
        <v>300</v>
      </c>
      <c r="G680" s="3">
        <v>15</v>
      </c>
      <c r="H680">
        <v>1728</v>
      </c>
      <c r="I680" t="s">
        <v>181</v>
      </c>
      <c r="J680">
        <v>19</v>
      </c>
      <c r="K680">
        <v>20</v>
      </c>
      <c r="L680">
        <v>2</v>
      </c>
      <c r="M680">
        <v>1</v>
      </c>
    </row>
    <row r="681" spans="1:13" x14ac:dyDescent="0.25">
      <c r="A681">
        <v>680</v>
      </c>
      <c r="B681">
        <v>44</v>
      </c>
      <c r="C681">
        <v>9</v>
      </c>
      <c r="D681" s="2">
        <v>42202.026956018519</v>
      </c>
      <c r="E681" t="s">
        <v>179</v>
      </c>
      <c r="F681">
        <v>270</v>
      </c>
      <c r="G681" s="3">
        <v>16</v>
      </c>
      <c r="H681">
        <v>1794</v>
      </c>
      <c r="I681" t="s">
        <v>181</v>
      </c>
      <c r="J681">
        <v>13</v>
      </c>
      <c r="K681">
        <v>16</v>
      </c>
      <c r="L681">
        <v>8</v>
      </c>
      <c r="M681">
        <v>5</v>
      </c>
    </row>
    <row r="682" spans="1:13" x14ac:dyDescent="0.25">
      <c r="A682">
        <v>681</v>
      </c>
      <c r="B682">
        <v>44</v>
      </c>
      <c r="C682">
        <v>19</v>
      </c>
      <c r="D682" s="2">
        <v>42204.591273148151</v>
      </c>
      <c r="E682" t="s">
        <v>179</v>
      </c>
      <c r="F682">
        <v>120</v>
      </c>
      <c r="G682" s="3">
        <v>17</v>
      </c>
      <c r="H682">
        <v>1928</v>
      </c>
      <c r="I682" t="s">
        <v>181</v>
      </c>
      <c r="J682">
        <v>4</v>
      </c>
      <c r="K682">
        <v>6</v>
      </c>
      <c r="L682">
        <v>17</v>
      </c>
      <c r="M682">
        <v>15</v>
      </c>
    </row>
    <row r="683" spans="1:13" x14ac:dyDescent="0.25">
      <c r="A683">
        <v>682</v>
      </c>
      <c r="B683">
        <v>44</v>
      </c>
      <c r="C683">
        <v>13</v>
      </c>
      <c r="D683" s="2">
        <v>42206.186342592591</v>
      </c>
      <c r="E683" t="s">
        <v>179</v>
      </c>
      <c r="F683">
        <v>0</v>
      </c>
      <c r="G683" s="3">
        <v>18</v>
      </c>
      <c r="H683">
        <v>1737</v>
      </c>
      <c r="I683" t="s">
        <v>181</v>
      </c>
      <c r="J683">
        <v>18</v>
      </c>
      <c r="K683">
        <v>7</v>
      </c>
      <c r="L683">
        <v>3</v>
      </c>
      <c r="M683">
        <v>14</v>
      </c>
    </row>
    <row r="684" spans="1:13" x14ac:dyDescent="0.25">
      <c r="A684">
        <v>683</v>
      </c>
      <c r="B684">
        <v>44</v>
      </c>
      <c r="C684">
        <v>17</v>
      </c>
      <c r="D684" s="2">
        <v>42202.273252314815</v>
      </c>
      <c r="E684" t="s">
        <v>179</v>
      </c>
      <c r="F684">
        <v>30</v>
      </c>
      <c r="G684" s="3">
        <v>19</v>
      </c>
      <c r="H684">
        <v>1939</v>
      </c>
      <c r="I684" t="s">
        <v>181</v>
      </c>
      <c r="J684">
        <v>2</v>
      </c>
      <c r="K684">
        <v>2</v>
      </c>
      <c r="L684">
        <v>19</v>
      </c>
      <c r="M684">
        <v>19</v>
      </c>
    </row>
    <row r="685" spans="1:13" x14ac:dyDescent="0.25">
      <c r="A685">
        <v>684</v>
      </c>
      <c r="B685">
        <v>44</v>
      </c>
      <c r="C685">
        <v>10</v>
      </c>
      <c r="D685" s="2">
        <v>42204.618310185186</v>
      </c>
      <c r="E685" t="s">
        <v>179</v>
      </c>
      <c r="F685">
        <v>240</v>
      </c>
      <c r="G685" s="3">
        <v>20</v>
      </c>
      <c r="H685">
        <v>0</v>
      </c>
      <c r="I685" t="s">
        <v>180</v>
      </c>
      <c r="J685">
        <v>0</v>
      </c>
      <c r="K685">
        <v>0</v>
      </c>
      <c r="L685">
        <v>0</v>
      </c>
      <c r="M685">
        <v>0</v>
      </c>
    </row>
    <row r="686" spans="1:13" x14ac:dyDescent="0.25">
      <c r="A686">
        <v>685</v>
      </c>
      <c r="B686">
        <v>44</v>
      </c>
      <c r="C686">
        <v>14</v>
      </c>
      <c r="D686" s="2">
        <v>42207.152199074073</v>
      </c>
      <c r="E686" t="s">
        <v>179</v>
      </c>
      <c r="F686">
        <v>90</v>
      </c>
      <c r="G686" s="3">
        <v>21</v>
      </c>
      <c r="H686">
        <v>0</v>
      </c>
      <c r="I686" t="s">
        <v>182</v>
      </c>
      <c r="J686">
        <v>0</v>
      </c>
      <c r="K686">
        <v>0</v>
      </c>
      <c r="L686">
        <v>0</v>
      </c>
      <c r="M686">
        <v>0</v>
      </c>
    </row>
    <row r="687" spans="1:13" x14ac:dyDescent="0.25">
      <c r="A687">
        <v>686</v>
      </c>
      <c r="B687">
        <v>44</v>
      </c>
      <c r="C687">
        <v>2</v>
      </c>
      <c r="D687" s="2">
        <v>42203.726122685184</v>
      </c>
      <c r="E687" t="s">
        <v>179</v>
      </c>
      <c r="F687">
        <v>240</v>
      </c>
      <c r="G687" s="3">
        <v>22</v>
      </c>
      <c r="H687">
        <v>1762</v>
      </c>
      <c r="I687" t="s">
        <v>181</v>
      </c>
      <c r="J687">
        <v>16</v>
      </c>
      <c r="K687">
        <v>17</v>
      </c>
      <c r="L687">
        <v>5</v>
      </c>
      <c r="M687">
        <v>4</v>
      </c>
    </row>
    <row r="688" spans="1:13" x14ac:dyDescent="0.25">
      <c r="A688">
        <v>687</v>
      </c>
      <c r="B688">
        <v>44</v>
      </c>
      <c r="C688">
        <v>21</v>
      </c>
      <c r="D688" s="2">
        <v>42205.653368055559</v>
      </c>
      <c r="E688" t="s">
        <v>179</v>
      </c>
      <c r="F688">
        <v>90</v>
      </c>
      <c r="G688" s="3">
        <v>23</v>
      </c>
      <c r="H688">
        <v>1915</v>
      </c>
      <c r="I688" t="s">
        <v>181</v>
      </c>
      <c r="J688">
        <v>7</v>
      </c>
      <c r="K688">
        <v>4</v>
      </c>
      <c r="L688">
        <v>14</v>
      </c>
      <c r="M688">
        <v>17</v>
      </c>
    </row>
    <row r="689" spans="1:13" x14ac:dyDescent="0.25">
      <c r="A689">
        <v>688</v>
      </c>
      <c r="B689">
        <v>44</v>
      </c>
      <c r="C689">
        <v>23</v>
      </c>
      <c r="D689" s="2">
        <v>42204.580613425926</v>
      </c>
      <c r="E689" t="s">
        <v>179</v>
      </c>
      <c r="F689">
        <v>270</v>
      </c>
      <c r="G689" s="3">
        <v>24</v>
      </c>
      <c r="H689">
        <v>1812</v>
      </c>
      <c r="I689" t="s">
        <v>181</v>
      </c>
      <c r="J689">
        <v>11</v>
      </c>
      <c r="K689">
        <v>15</v>
      </c>
      <c r="L689">
        <v>10</v>
      </c>
      <c r="M689">
        <v>6</v>
      </c>
    </row>
    <row r="690" spans="1:13" x14ac:dyDescent="0.25">
      <c r="A690">
        <v>689</v>
      </c>
      <c r="B690">
        <v>45</v>
      </c>
      <c r="C690">
        <v>19</v>
      </c>
      <c r="D690" s="2">
        <v>42212.072870370372</v>
      </c>
      <c r="E690" t="s">
        <v>179</v>
      </c>
      <c r="F690">
        <v>0</v>
      </c>
      <c r="G690" s="3">
        <v>1</v>
      </c>
      <c r="H690">
        <v>2022</v>
      </c>
      <c r="I690" t="s">
        <v>181</v>
      </c>
      <c r="J690">
        <v>14</v>
      </c>
      <c r="K690">
        <v>8</v>
      </c>
      <c r="L690">
        <v>7</v>
      </c>
      <c r="M690">
        <v>13</v>
      </c>
    </row>
    <row r="691" spans="1:13" x14ac:dyDescent="0.25">
      <c r="A691">
        <v>690</v>
      </c>
      <c r="B691">
        <v>45</v>
      </c>
      <c r="C691">
        <v>9</v>
      </c>
      <c r="D691" s="2">
        <v>42212.999421296299</v>
      </c>
      <c r="E691" t="s">
        <v>179</v>
      </c>
      <c r="F691">
        <v>180</v>
      </c>
      <c r="G691" s="3">
        <v>2</v>
      </c>
      <c r="H691">
        <v>1909</v>
      </c>
      <c r="I691" t="s">
        <v>181</v>
      </c>
      <c r="J691">
        <v>18</v>
      </c>
      <c r="K691">
        <v>19</v>
      </c>
      <c r="L691">
        <v>3</v>
      </c>
      <c r="M691">
        <v>2</v>
      </c>
    </row>
    <row r="692" spans="1:13" x14ac:dyDescent="0.25">
      <c r="A692">
        <v>691</v>
      </c>
      <c r="B692">
        <v>45</v>
      </c>
      <c r="C692">
        <v>31</v>
      </c>
      <c r="D692" s="2">
        <v>42214.885694444441</v>
      </c>
      <c r="E692" t="s">
        <v>179</v>
      </c>
      <c r="F692">
        <v>60</v>
      </c>
      <c r="G692" s="3">
        <v>3</v>
      </c>
      <c r="H692">
        <v>2078</v>
      </c>
      <c r="I692" t="s">
        <v>181</v>
      </c>
      <c r="J692">
        <v>11</v>
      </c>
      <c r="K692">
        <v>9</v>
      </c>
      <c r="L692">
        <v>10</v>
      </c>
      <c r="M692">
        <v>12</v>
      </c>
    </row>
    <row r="693" spans="1:13" x14ac:dyDescent="0.25">
      <c r="A693">
        <v>692</v>
      </c>
      <c r="B693">
        <v>45</v>
      </c>
      <c r="C693">
        <v>16</v>
      </c>
      <c r="D693" s="2">
        <v>42213.812754629631</v>
      </c>
      <c r="E693" t="s">
        <v>179</v>
      </c>
      <c r="F693">
        <v>150</v>
      </c>
      <c r="G693" s="3">
        <v>4</v>
      </c>
      <c r="H693">
        <v>0</v>
      </c>
      <c r="I693" t="s">
        <v>182</v>
      </c>
      <c r="J693">
        <v>0</v>
      </c>
      <c r="K693">
        <v>0</v>
      </c>
      <c r="L693">
        <v>0</v>
      </c>
      <c r="M693">
        <v>0</v>
      </c>
    </row>
    <row r="694" spans="1:13" x14ac:dyDescent="0.25">
      <c r="A694">
        <v>693</v>
      </c>
      <c r="B694">
        <v>45</v>
      </c>
      <c r="C694">
        <v>17</v>
      </c>
      <c r="D694" s="2">
        <v>42210.654687499999</v>
      </c>
      <c r="E694" t="s">
        <v>179</v>
      </c>
      <c r="F694">
        <v>180</v>
      </c>
      <c r="G694" s="3">
        <v>5</v>
      </c>
      <c r="H694">
        <v>0</v>
      </c>
      <c r="I694" t="s">
        <v>182</v>
      </c>
      <c r="J694">
        <v>0</v>
      </c>
      <c r="K694">
        <v>0</v>
      </c>
      <c r="L694">
        <v>0</v>
      </c>
      <c r="M694">
        <v>0</v>
      </c>
    </row>
    <row r="695" spans="1:13" x14ac:dyDescent="0.25">
      <c r="A695">
        <v>694</v>
      </c>
      <c r="B695">
        <v>45</v>
      </c>
      <c r="C695">
        <v>23</v>
      </c>
      <c r="D695" s="2">
        <v>42209.951817129629</v>
      </c>
      <c r="E695" t="s">
        <v>179</v>
      </c>
      <c r="F695">
        <v>0</v>
      </c>
      <c r="G695" s="3">
        <v>6</v>
      </c>
      <c r="H695">
        <v>0</v>
      </c>
      <c r="I695" t="s">
        <v>182</v>
      </c>
      <c r="J695">
        <v>0</v>
      </c>
      <c r="K695">
        <v>0</v>
      </c>
      <c r="L695">
        <v>0</v>
      </c>
      <c r="M695">
        <v>0</v>
      </c>
    </row>
    <row r="696" spans="1:13" x14ac:dyDescent="0.25">
      <c r="A696">
        <v>695</v>
      </c>
      <c r="B696">
        <v>45</v>
      </c>
      <c r="C696">
        <v>22</v>
      </c>
      <c r="D696" s="2">
        <v>42215.116516203707</v>
      </c>
      <c r="E696" t="s">
        <v>179</v>
      </c>
      <c r="F696">
        <v>150</v>
      </c>
      <c r="G696" s="3">
        <v>7</v>
      </c>
      <c r="H696">
        <v>1936</v>
      </c>
      <c r="I696" t="s">
        <v>181</v>
      </c>
      <c r="J696">
        <v>17</v>
      </c>
      <c r="K696">
        <v>16</v>
      </c>
      <c r="L696">
        <v>4</v>
      </c>
      <c r="M696">
        <v>5</v>
      </c>
    </row>
    <row r="697" spans="1:13" x14ac:dyDescent="0.25">
      <c r="A697">
        <v>696</v>
      </c>
      <c r="B697">
        <v>45</v>
      </c>
      <c r="C697">
        <v>7</v>
      </c>
      <c r="D697" s="2">
        <v>42211.724803240744</v>
      </c>
      <c r="E697" t="s">
        <v>179</v>
      </c>
      <c r="F697">
        <v>120</v>
      </c>
      <c r="G697" s="3">
        <v>8</v>
      </c>
      <c r="H697">
        <v>2098</v>
      </c>
      <c r="I697" t="s">
        <v>181</v>
      </c>
      <c r="J697">
        <v>10</v>
      </c>
      <c r="K697">
        <v>10</v>
      </c>
      <c r="L697">
        <v>11</v>
      </c>
      <c r="M697">
        <v>11</v>
      </c>
    </row>
    <row r="698" spans="1:13" x14ac:dyDescent="0.25">
      <c r="A698">
        <v>697</v>
      </c>
      <c r="B698">
        <v>45</v>
      </c>
      <c r="C698">
        <v>18</v>
      </c>
      <c r="D698" s="2">
        <v>42214.666608796295</v>
      </c>
      <c r="E698" t="s">
        <v>179</v>
      </c>
      <c r="F698">
        <v>90</v>
      </c>
      <c r="G698" s="3">
        <v>9</v>
      </c>
      <c r="H698">
        <v>1977</v>
      </c>
      <c r="I698" t="s">
        <v>181</v>
      </c>
      <c r="J698">
        <v>15</v>
      </c>
      <c r="K698">
        <v>13</v>
      </c>
      <c r="L698">
        <v>6</v>
      </c>
      <c r="M698">
        <v>8</v>
      </c>
    </row>
    <row r="699" spans="1:13" x14ac:dyDescent="0.25">
      <c r="A699">
        <v>698</v>
      </c>
      <c r="B699">
        <v>45</v>
      </c>
      <c r="C699">
        <v>25</v>
      </c>
      <c r="D699" s="2">
        <v>42210.524907407409</v>
      </c>
      <c r="E699" t="s">
        <v>179</v>
      </c>
      <c r="F699">
        <v>60</v>
      </c>
      <c r="G699" s="3">
        <v>10</v>
      </c>
      <c r="H699">
        <v>0</v>
      </c>
      <c r="I699" t="s">
        <v>180</v>
      </c>
      <c r="J699">
        <v>0</v>
      </c>
      <c r="K699">
        <v>0</v>
      </c>
      <c r="L699">
        <v>0</v>
      </c>
      <c r="M699">
        <v>0</v>
      </c>
    </row>
    <row r="700" spans="1:13" x14ac:dyDescent="0.25">
      <c r="A700">
        <v>699</v>
      </c>
      <c r="B700">
        <v>45</v>
      </c>
      <c r="C700">
        <v>6</v>
      </c>
      <c r="D700" s="2">
        <v>42211.690370370372</v>
      </c>
      <c r="E700" t="s">
        <v>179</v>
      </c>
      <c r="F700">
        <v>120</v>
      </c>
      <c r="G700" s="3">
        <v>11</v>
      </c>
      <c r="H700">
        <v>2031</v>
      </c>
      <c r="I700" t="s">
        <v>181</v>
      </c>
      <c r="J700">
        <v>13</v>
      </c>
      <c r="K700">
        <v>11</v>
      </c>
      <c r="L700">
        <v>8</v>
      </c>
      <c r="M700">
        <v>10</v>
      </c>
    </row>
    <row r="701" spans="1:13" x14ac:dyDescent="0.25">
      <c r="A701">
        <v>700</v>
      </c>
      <c r="B701">
        <v>45</v>
      </c>
      <c r="C701">
        <v>26</v>
      </c>
      <c r="D701" s="2">
        <v>42211.285439814812</v>
      </c>
      <c r="E701" t="s">
        <v>179</v>
      </c>
      <c r="F701">
        <v>0</v>
      </c>
      <c r="G701" s="3">
        <v>12</v>
      </c>
      <c r="H701">
        <v>2104</v>
      </c>
      <c r="I701" t="s">
        <v>181</v>
      </c>
      <c r="J701">
        <v>9</v>
      </c>
      <c r="K701">
        <v>7</v>
      </c>
      <c r="L701">
        <v>12</v>
      </c>
      <c r="M701">
        <v>14</v>
      </c>
    </row>
    <row r="702" spans="1:13" x14ac:dyDescent="0.25">
      <c r="A702">
        <v>701</v>
      </c>
      <c r="B702">
        <v>45</v>
      </c>
      <c r="C702">
        <v>8</v>
      </c>
      <c r="D702" s="2">
        <v>42213.80878472222</v>
      </c>
      <c r="E702" t="s">
        <v>179</v>
      </c>
      <c r="F702">
        <v>180</v>
      </c>
      <c r="G702" s="3">
        <v>13</v>
      </c>
      <c r="H702">
        <v>1894</v>
      </c>
      <c r="I702" t="s">
        <v>181</v>
      </c>
      <c r="J702">
        <v>20</v>
      </c>
      <c r="K702">
        <v>20</v>
      </c>
      <c r="L702">
        <v>1</v>
      </c>
      <c r="M702">
        <v>1</v>
      </c>
    </row>
    <row r="703" spans="1:13" x14ac:dyDescent="0.25">
      <c r="A703">
        <v>702</v>
      </c>
      <c r="B703">
        <v>45</v>
      </c>
      <c r="C703">
        <v>4</v>
      </c>
      <c r="D703" s="2">
        <v>42215.403854166667</v>
      </c>
      <c r="E703" t="s">
        <v>179</v>
      </c>
      <c r="F703">
        <v>60</v>
      </c>
      <c r="G703" s="3">
        <v>14</v>
      </c>
      <c r="H703">
        <v>1966</v>
      </c>
      <c r="I703" t="s">
        <v>181</v>
      </c>
      <c r="J703">
        <v>16</v>
      </c>
      <c r="K703">
        <v>12</v>
      </c>
      <c r="L703">
        <v>5</v>
      </c>
      <c r="M703">
        <v>9</v>
      </c>
    </row>
    <row r="704" spans="1:13" x14ac:dyDescent="0.25">
      <c r="A704">
        <v>703</v>
      </c>
      <c r="B704">
        <v>45</v>
      </c>
      <c r="C704">
        <v>13</v>
      </c>
      <c r="D704" s="2">
        <v>42215.968356481484</v>
      </c>
      <c r="E704" t="s">
        <v>179</v>
      </c>
      <c r="F704">
        <v>270</v>
      </c>
      <c r="G704" s="3">
        <v>15</v>
      </c>
      <c r="H704">
        <v>2039</v>
      </c>
      <c r="I704" t="s">
        <v>181</v>
      </c>
      <c r="J704">
        <v>12</v>
      </c>
      <c r="K704">
        <v>17</v>
      </c>
      <c r="L704">
        <v>9</v>
      </c>
      <c r="M704">
        <v>4</v>
      </c>
    </row>
    <row r="705" spans="1:13" x14ac:dyDescent="0.25">
      <c r="A705">
        <v>704</v>
      </c>
      <c r="B705">
        <v>45</v>
      </c>
      <c r="C705">
        <v>30</v>
      </c>
      <c r="D705" s="2">
        <v>42208.56322916667</v>
      </c>
      <c r="E705" t="s">
        <v>179</v>
      </c>
      <c r="F705">
        <v>240</v>
      </c>
      <c r="G705" s="3">
        <v>16</v>
      </c>
      <c r="H705">
        <v>2111</v>
      </c>
      <c r="I705" t="s">
        <v>181</v>
      </c>
      <c r="J705">
        <v>8</v>
      </c>
      <c r="K705">
        <v>15</v>
      </c>
      <c r="L705">
        <v>13</v>
      </c>
      <c r="M705">
        <v>6</v>
      </c>
    </row>
    <row r="706" spans="1:13" x14ac:dyDescent="0.25">
      <c r="A706">
        <v>705</v>
      </c>
      <c r="B706">
        <v>45</v>
      </c>
      <c r="C706">
        <v>21</v>
      </c>
      <c r="D706" s="2">
        <v>42210.836770833332</v>
      </c>
      <c r="E706" t="s">
        <v>179</v>
      </c>
      <c r="F706">
        <v>90</v>
      </c>
      <c r="G706" s="3">
        <v>17</v>
      </c>
      <c r="H706">
        <v>0</v>
      </c>
      <c r="I706" t="s">
        <v>182</v>
      </c>
      <c r="J706">
        <v>0</v>
      </c>
      <c r="K706">
        <v>0</v>
      </c>
      <c r="L706">
        <v>0</v>
      </c>
      <c r="M706">
        <v>0</v>
      </c>
    </row>
    <row r="707" spans="1:13" x14ac:dyDescent="0.25">
      <c r="A707">
        <v>706</v>
      </c>
      <c r="B707">
        <v>45</v>
      </c>
      <c r="C707">
        <v>3</v>
      </c>
      <c r="D707" s="2">
        <v>42208.559270833335</v>
      </c>
      <c r="E707" t="s">
        <v>179</v>
      </c>
      <c r="F707">
        <v>150</v>
      </c>
      <c r="G707" s="3">
        <v>18</v>
      </c>
      <c r="H707">
        <v>1908</v>
      </c>
      <c r="I707" t="s">
        <v>181</v>
      </c>
      <c r="J707">
        <v>19</v>
      </c>
      <c r="K707">
        <v>18</v>
      </c>
      <c r="L707">
        <v>2</v>
      </c>
      <c r="M707">
        <v>3</v>
      </c>
    </row>
    <row r="708" spans="1:13" x14ac:dyDescent="0.25">
      <c r="A708">
        <v>707</v>
      </c>
      <c r="B708">
        <v>45</v>
      </c>
      <c r="C708">
        <v>5</v>
      </c>
      <c r="D708" s="2">
        <v>42215.063483796293</v>
      </c>
      <c r="E708" t="s">
        <v>179</v>
      </c>
      <c r="F708">
        <v>300</v>
      </c>
      <c r="G708" s="3">
        <v>19</v>
      </c>
      <c r="H708">
        <v>0</v>
      </c>
      <c r="I708" t="s">
        <v>182</v>
      </c>
      <c r="J708">
        <v>0</v>
      </c>
      <c r="K708">
        <v>0</v>
      </c>
      <c r="L708">
        <v>0</v>
      </c>
      <c r="M708">
        <v>0</v>
      </c>
    </row>
    <row r="709" spans="1:13" x14ac:dyDescent="0.25">
      <c r="A709">
        <v>708</v>
      </c>
      <c r="B709">
        <v>45</v>
      </c>
      <c r="C709">
        <v>11</v>
      </c>
      <c r="D709" s="2">
        <v>42208.137569444443</v>
      </c>
      <c r="E709" t="s">
        <v>179</v>
      </c>
      <c r="F709">
        <v>240</v>
      </c>
      <c r="G709" s="3">
        <v>20</v>
      </c>
      <c r="H709">
        <v>2115</v>
      </c>
      <c r="I709" t="s">
        <v>181</v>
      </c>
      <c r="J709">
        <v>7</v>
      </c>
      <c r="K709">
        <v>14</v>
      </c>
      <c r="L709">
        <v>14</v>
      </c>
      <c r="M709">
        <v>7</v>
      </c>
    </row>
    <row r="710" spans="1:13" x14ac:dyDescent="0.25">
      <c r="A710">
        <v>709</v>
      </c>
      <c r="B710">
        <v>46</v>
      </c>
      <c r="C710">
        <v>28</v>
      </c>
      <c r="D710" s="2">
        <v>42217.923101851855</v>
      </c>
      <c r="E710" t="s">
        <v>179</v>
      </c>
      <c r="F710">
        <v>30</v>
      </c>
      <c r="G710" s="3">
        <v>1</v>
      </c>
      <c r="H710">
        <v>1433</v>
      </c>
      <c r="I710" t="s">
        <v>181</v>
      </c>
      <c r="J710">
        <v>20</v>
      </c>
      <c r="K710">
        <v>13</v>
      </c>
      <c r="L710">
        <v>1</v>
      </c>
      <c r="M710">
        <v>8</v>
      </c>
    </row>
    <row r="711" spans="1:13" x14ac:dyDescent="0.25">
      <c r="A711">
        <v>710</v>
      </c>
      <c r="B711">
        <v>46</v>
      </c>
      <c r="C711">
        <v>24</v>
      </c>
      <c r="D711" s="2">
        <v>42216.22488425926</v>
      </c>
      <c r="E711" t="s">
        <v>179</v>
      </c>
      <c r="F711">
        <v>240</v>
      </c>
      <c r="G711" s="3">
        <v>2</v>
      </c>
      <c r="H711">
        <v>0</v>
      </c>
      <c r="I711" t="s">
        <v>180</v>
      </c>
      <c r="J711">
        <v>0</v>
      </c>
      <c r="K711">
        <v>0</v>
      </c>
      <c r="L711">
        <v>0</v>
      </c>
      <c r="M711">
        <v>0</v>
      </c>
    </row>
    <row r="712" spans="1:13" x14ac:dyDescent="0.25">
      <c r="A712">
        <v>711</v>
      </c>
      <c r="B712">
        <v>46</v>
      </c>
      <c r="C712">
        <v>26</v>
      </c>
      <c r="D712" s="2">
        <v>42217.962118055555</v>
      </c>
      <c r="E712" t="s">
        <v>179</v>
      </c>
      <c r="F712">
        <v>180</v>
      </c>
      <c r="G712" s="3">
        <v>3</v>
      </c>
      <c r="H712">
        <v>1627</v>
      </c>
      <c r="I712" t="s">
        <v>181</v>
      </c>
      <c r="J712">
        <v>3</v>
      </c>
      <c r="K712">
        <v>9</v>
      </c>
      <c r="L712">
        <v>18</v>
      </c>
      <c r="M712">
        <v>12</v>
      </c>
    </row>
    <row r="713" spans="1:13" x14ac:dyDescent="0.25">
      <c r="A713">
        <v>712</v>
      </c>
      <c r="B713">
        <v>46</v>
      </c>
      <c r="C713">
        <v>27</v>
      </c>
      <c r="D713" s="2">
        <v>42222.875497685185</v>
      </c>
      <c r="E713" t="s">
        <v>179</v>
      </c>
      <c r="F713">
        <v>270</v>
      </c>
      <c r="G713" s="3">
        <v>4</v>
      </c>
      <c r="H713">
        <v>1603</v>
      </c>
      <c r="I713" t="s">
        <v>181</v>
      </c>
      <c r="J713">
        <v>5</v>
      </c>
      <c r="K713">
        <v>14</v>
      </c>
      <c r="L713">
        <v>16</v>
      </c>
      <c r="M713">
        <v>7</v>
      </c>
    </row>
    <row r="714" spans="1:13" x14ac:dyDescent="0.25">
      <c r="A714">
        <v>713</v>
      </c>
      <c r="B714">
        <v>46</v>
      </c>
      <c r="C714">
        <v>7</v>
      </c>
      <c r="D714" s="2">
        <v>42221.122199074074</v>
      </c>
      <c r="E714" t="s">
        <v>179</v>
      </c>
      <c r="F714">
        <v>270</v>
      </c>
      <c r="G714" s="3">
        <v>5</v>
      </c>
      <c r="H714">
        <v>1522</v>
      </c>
      <c r="I714" t="s">
        <v>181</v>
      </c>
      <c r="J714">
        <v>12</v>
      </c>
      <c r="K714">
        <v>18</v>
      </c>
      <c r="L714">
        <v>9</v>
      </c>
      <c r="M714">
        <v>3</v>
      </c>
    </row>
    <row r="715" spans="1:13" x14ac:dyDescent="0.25">
      <c r="A715">
        <v>714</v>
      </c>
      <c r="B715">
        <v>46</v>
      </c>
      <c r="C715">
        <v>13</v>
      </c>
      <c r="D715" s="2">
        <v>42218.076550925929</v>
      </c>
      <c r="E715" t="s">
        <v>179</v>
      </c>
      <c r="F715">
        <v>0</v>
      </c>
      <c r="G715" s="3">
        <v>6</v>
      </c>
      <c r="H715">
        <v>1498</v>
      </c>
      <c r="I715" t="s">
        <v>181</v>
      </c>
      <c r="J715">
        <v>16</v>
      </c>
      <c r="K715">
        <v>6</v>
      </c>
      <c r="L715">
        <v>5</v>
      </c>
      <c r="M715">
        <v>15</v>
      </c>
    </row>
    <row r="716" spans="1:13" x14ac:dyDescent="0.25">
      <c r="A716">
        <v>715</v>
      </c>
      <c r="B716">
        <v>46</v>
      </c>
      <c r="C716">
        <v>17</v>
      </c>
      <c r="D716" s="2">
        <v>42215.990104166667</v>
      </c>
      <c r="E716" t="s">
        <v>179</v>
      </c>
      <c r="F716">
        <v>60</v>
      </c>
      <c r="G716" s="3">
        <v>7</v>
      </c>
      <c r="H716">
        <v>0</v>
      </c>
      <c r="I716" t="s">
        <v>182</v>
      </c>
      <c r="J716">
        <v>0</v>
      </c>
      <c r="K716">
        <v>0</v>
      </c>
      <c r="L716">
        <v>0</v>
      </c>
      <c r="M716">
        <v>0</v>
      </c>
    </row>
    <row r="717" spans="1:13" x14ac:dyDescent="0.25">
      <c r="A717">
        <v>716</v>
      </c>
      <c r="B717">
        <v>46</v>
      </c>
      <c r="C717">
        <v>4</v>
      </c>
      <c r="D717" s="2">
        <v>42216.592129629629</v>
      </c>
      <c r="E717" t="s">
        <v>179</v>
      </c>
      <c r="F717">
        <v>0</v>
      </c>
      <c r="G717" s="3">
        <v>8</v>
      </c>
      <c r="H717">
        <v>1634</v>
      </c>
      <c r="I717" t="s">
        <v>181</v>
      </c>
      <c r="J717">
        <v>2</v>
      </c>
      <c r="K717">
        <v>2</v>
      </c>
      <c r="L717">
        <v>19</v>
      </c>
      <c r="M717">
        <v>19</v>
      </c>
    </row>
    <row r="718" spans="1:13" x14ac:dyDescent="0.25">
      <c r="A718">
        <v>717</v>
      </c>
      <c r="B718">
        <v>46</v>
      </c>
      <c r="C718">
        <v>5</v>
      </c>
      <c r="D718" s="2">
        <v>42221.172615740739</v>
      </c>
      <c r="E718" t="s">
        <v>179</v>
      </c>
      <c r="F718">
        <v>60</v>
      </c>
      <c r="G718" s="3">
        <v>9</v>
      </c>
      <c r="H718">
        <v>1536</v>
      </c>
      <c r="I718" t="s">
        <v>181</v>
      </c>
      <c r="J718">
        <v>11</v>
      </c>
      <c r="K718">
        <v>7</v>
      </c>
      <c r="L718">
        <v>10</v>
      </c>
      <c r="M718">
        <v>14</v>
      </c>
    </row>
    <row r="719" spans="1:13" x14ac:dyDescent="0.25">
      <c r="A719">
        <v>718</v>
      </c>
      <c r="B719">
        <v>46</v>
      </c>
      <c r="C719">
        <v>3</v>
      </c>
      <c r="D719" s="2">
        <v>42220.045474537037</v>
      </c>
      <c r="E719" t="s">
        <v>179</v>
      </c>
      <c r="F719">
        <v>150</v>
      </c>
      <c r="G719" s="3">
        <v>10</v>
      </c>
      <c r="H719">
        <v>1597</v>
      </c>
      <c r="I719" t="s">
        <v>181</v>
      </c>
      <c r="J719">
        <v>6</v>
      </c>
      <c r="K719">
        <v>9</v>
      </c>
      <c r="L719">
        <v>15</v>
      </c>
      <c r="M719">
        <v>12</v>
      </c>
    </row>
    <row r="720" spans="1:13" x14ac:dyDescent="0.25">
      <c r="A720">
        <v>719</v>
      </c>
      <c r="B720">
        <v>46</v>
      </c>
      <c r="C720">
        <v>31</v>
      </c>
      <c r="D720" s="2">
        <v>42217.637083333335</v>
      </c>
      <c r="E720" t="s">
        <v>179</v>
      </c>
      <c r="F720">
        <v>240</v>
      </c>
      <c r="G720" s="3">
        <v>11</v>
      </c>
      <c r="H720">
        <v>1499</v>
      </c>
      <c r="I720" t="s">
        <v>181</v>
      </c>
      <c r="J720">
        <v>15</v>
      </c>
      <c r="K720">
        <v>17</v>
      </c>
      <c r="L720">
        <v>6</v>
      </c>
      <c r="M720">
        <v>4</v>
      </c>
    </row>
    <row r="721" spans="1:13" x14ac:dyDescent="0.25">
      <c r="A721">
        <v>720</v>
      </c>
      <c r="B721">
        <v>46</v>
      </c>
      <c r="C721">
        <v>21</v>
      </c>
      <c r="D721" s="2">
        <v>42217.259247685186</v>
      </c>
      <c r="E721" t="s">
        <v>179</v>
      </c>
      <c r="F721">
        <v>0</v>
      </c>
      <c r="G721" s="3">
        <v>12</v>
      </c>
      <c r="H721">
        <v>1560</v>
      </c>
      <c r="I721" t="s">
        <v>181</v>
      </c>
      <c r="J721">
        <v>10</v>
      </c>
      <c r="K721">
        <v>5</v>
      </c>
      <c r="L721">
        <v>11</v>
      </c>
      <c r="M721">
        <v>16</v>
      </c>
    </row>
    <row r="722" spans="1:13" x14ac:dyDescent="0.25">
      <c r="A722">
        <v>721</v>
      </c>
      <c r="B722">
        <v>46</v>
      </c>
      <c r="C722">
        <v>1</v>
      </c>
      <c r="D722" s="2">
        <v>42216.840439814812</v>
      </c>
      <c r="E722" t="s">
        <v>179</v>
      </c>
      <c r="F722">
        <v>60</v>
      </c>
      <c r="G722" s="3">
        <v>13</v>
      </c>
      <c r="H722">
        <v>0</v>
      </c>
      <c r="I722" t="s">
        <v>182</v>
      </c>
      <c r="J722">
        <v>0</v>
      </c>
      <c r="K722">
        <v>0</v>
      </c>
      <c r="L722">
        <v>0</v>
      </c>
      <c r="M722">
        <v>0</v>
      </c>
    </row>
    <row r="723" spans="1:13" x14ac:dyDescent="0.25">
      <c r="A723">
        <v>722</v>
      </c>
      <c r="B723">
        <v>46</v>
      </c>
      <c r="C723">
        <v>12</v>
      </c>
      <c r="D723" s="2">
        <v>42216.769004629627</v>
      </c>
      <c r="E723" t="s">
        <v>179</v>
      </c>
      <c r="F723">
        <v>30</v>
      </c>
      <c r="G723" s="3">
        <v>14</v>
      </c>
      <c r="H723">
        <v>1466</v>
      </c>
      <c r="I723" t="s">
        <v>181</v>
      </c>
      <c r="J723">
        <v>18</v>
      </c>
      <c r="K723">
        <v>10</v>
      </c>
      <c r="L723">
        <v>3</v>
      </c>
      <c r="M723">
        <v>11</v>
      </c>
    </row>
    <row r="724" spans="1:13" x14ac:dyDescent="0.25">
      <c r="A724">
        <v>723</v>
      </c>
      <c r="B724">
        <v>46</v>
      </c>
      <c r="C724">
        <v>25</v>
      </c>
      <c r="D724" s="2">
        <v>42218.638402777775</v>
      </c>
      <c r="E724" t="s">
        <v>179</v>
      </c>
      <c r="F724">
        <v>0</v>
      </c>
      <c r="G724" s="3">
        <v>15</v>
      </c>
      <c r="H724">
        <v>1589</v>
      </c>
      <c r="I724" t="s">
        <v>181</v>
      </c>
      <c r="J724">
        <v>7</v>
      </c>
      <c r="K724">
        <v>3</v>
      </c>
      <c r="L724">
        <v>14</v>
      </c>
      <c r="M724">
        <v>18</v>
      </c>
    </row>
    <row r="725" spans="1:13" x14ac:dyDescent="0.25">
      <c r="A725">
        <v>724</v>
      </c>
      <c r="B725">
        <v>46</v>
      </c>
      <c r="C725">
        <v>29</v>
      </c>
      <c r="D725" s="2">
        <v>42215.288368055553</v>
      </c>
      <c r="E725" t="s">
        <v>179</v>
      </c>
      <c r="F725">
        <v>300</v>
      </c>
      <c r="G725" s="3">
        <v>16</v>
      </c>
      <c r="H725">
        <v>1497</v>
      </c>
      <c r="I725" t="s">
        <v>181</v>
      </c>
      <c r="J725">
        <v>17</v>
      </c>
      <c r="K725">
        <v>20</v>
      </c>
      <c r="L725">
        <v>4</v>
      </c>
      <c r="M725">
        <v>1</v>
      </c>
    </row>
    <row r="726" spans="1:13" x14ac:dyDescent="0.25">
      <c r="A726">
        <v>725</v>
      </c>
      <c r="B726">
        <v>46</v>
      </c>
      <c r="C726">
        <v>2</v>
      </c>
      <c r="D726" s="2">
        <v>42217.146840277775</v>
      </c>
      <c r="E726" t="s">
        <v>179</v>
      </c>
      <c r="F726">
        <v>270</v>
      </c>
      <c r="G726" s="3">
        <v>17</v>
      </c>
      <c r="H726">
        <v>0</v>
      </c>
      <c r="I726" t="s">
        <v>180</v>
      </c>
      <c r="J726">
        <v>0</v>
      </c>
      <c r="K726">
        <v>0</v>
      </c>
      <c r="L726">
        <v>0</v>
      </c>
      <c r="M726">
        <v>0</v>
      </c>
    </row>
    <row r="727" spans="1:13" x14ac:dyDescent="0.25">
      <c r="A727">
        <v>726</v>
      </c>
      <c r="B727">
        <v>46</v>
      </c>
      <c r="C727">
        <v>9</v>
      </c>
      <c r="D727" s="2">
        <v>42221.909062500003</v>
      </c>
      <c r="E727" t="s">
        <v>179</v>
      </c>
      <c r="F727">
        <v>180</v>
      </c>
      <c r="G727" s="3">
        <v>18</v>
      </c>
      <c r="H727">
        <v>1506</v>
      </c>
      <c r="I727" t="s">
        <v>181</v>
      </c>
      <c r="J727">
        <v>14</v>
      </c>
      <c r="K727">
        <v>15</v>
      </c>
      <c r="L727">
        <v>7</v>
      </c>
      <c r="M727">
        <v>6</v>
      </c>
    </row>
    <row r="728" spans="1:13" x14ac:dyDescent="0.25">
      <c r="A728">
        <v>727</v>
      </c>
      <c r="B728">
        <v>46</v>
      </c>
      <c r="C728">
        <v>23</v>
      </c>
      <c r="D728" s="2">
        <v>42219.734861111108</v>
      </c>
      <c r="E728" t="s">
        <v>179</v>
      </c>
      <c r="F728">
        <v>150</v>
      </c>
      <c r="G728" s="3">
        <v>19</v>
      </c>
      <c r="H728">
        <v>1561</v>
      </c>
      <c r="I728" t="s">
        <v>181</v>
      </c>
      <c r="J728">
        <v>9</v>
      </c>
      <c r="K728">
        <v>12</v>
      </c>
      <c r="L728">
        <v>12</v>
      </c>
      <c r="M728">
        <v>9</v>
      </c>
    </row>
    <row r="729" spans="1:13" x14ac:dyDescent="0.25">
      <c r="A729">
        <v>728</v>
      </c>
      <c r="B729">
        <v>46</v>
      </c>
      <c r="C729">
        <v>19</v>
      </c>
      <c r="D729" s="2">
        <v>42219.329918981479</v>
      </c>
      <c r="E729" t="s">
        <v>179</v>
      </c>
      <c r="F729">
        <v>30</v>
      </c>
      <c r="G729" s="3">
        <v>20</v>
      </c>
      <c r="H729">
        <v>1616</v>
      </c>
      <c r="I729" t="s">
        <v>181</v>
      </c>
      <c r="J729">
        <v>4</v>
      </c>
      <c r="K729">
        <v>4</v>
      </c>
      <c r="L729">
        <v>17</v>
      </c>
      <c r="M729">
        <v>17</v>
      </c>
    </row>
    <row r="730" spans="1:13" x14ac:dyDescent="0.25">
      <c r="A730">
        <v>729</v>
      </c>
      <c r="B730">
        <v>46</v>
      </c>
      <c r="C730">
        <v>16</v>
      </c>
      <c r="D730" s="2">
        <v>42221.894942129627</v>
      </c>
      <c r="E730" t="s">
        <v>179</v>
      </c>
      <c r="F730">
        <v>240</v>
      </c>
      <c r="G730" s="3">
        <v>21</v>
      </c>
      <c r="H730">
        <v>1456</v>
      </c>
      <c r="I730" t="s">
        <v>181</v>
      </c>
      <c r="J730">
        <v>19</v>
      </c>
      <c r="K730">
        <v>19</v>
      </c>
      <c r="L730">
        <v>2</v>
      </c>
      <c r="M730">
        <v>2</v>
      </c>
    </row>
    <row r="731" spans="1:13" x14ac:dyDescent="0.25">
      <c r="A731">
        <v>730</v>
      </c>
      <c r="B731">
        <v>46</v>
      </c>
      <c r="C731">
        <v>20</v>
      </c>
      <c r="D731" s="2">
        <v>42222.49</v>
      </c>
      <c r="E731" t="s">
        <v>179</v>
      </c>
      <c r="F731">
        <v>90</v>
      </c>
      <c r="G731" s="3">
        <v>22</v>
      </c>
      <c r="H731">
        <v>1511</v>
      </c>
      <c r="I731" t="s">
        <v>181</v>
      </c>
      <c r="J731">
        <v>13</v>
      </c>
      <c r="K731">
        <v>11</v>
      </c>
      <c r="L731">
        <v>8</v>
      </c>
      <c r="M731">
        <v>10</v>
      </c>
    </row>
    <row r="732" spans="1:13" x14ac:dyDescent="0.25">
      <c r="A732">
        <v>731</v>
      </c>
      <c r="B732">
        <v>46</v>
      </c>
      <c r="C732">
        <v>10</v>
      </c>
      <c r="D732" s="2">
        <v>42222.01284722222</v>
      </c>
      <c r="E732" t="s">
        <v>179</v>
      </c>
      <c r="F732">
        <v>300</v>
      </c>
      <c r="G732" s="3">
        <v>23</v>
      </c>
      <c r="H732">
        <v>1566</v>
      </c>
      <c r="I732" t="s">
        <v>181</v>
      </c>
      <c r="J732">
        <v>8</v>
      </c>
      <c r="K732">
        <v>16</v>
      </c>
      <c r="L732">
        <v>13</v>
      </c>
      <c r="M732">
        <v>5</v>
      </c>
    </row>
    <row r="733" spans="1:13" x14ac:dyDescent="0.25">
      <c r="A733">
        <v>732</v>
      </c>
      <c r="B733">
        <v>47</v>
      </c>
      <c r="C733">
        <v>25</v>
      </c>
      <c r="D733" s="2">
        <v>42228.938726851855</v>
      </c>
      <c r="E733" t="s">
        <v>179</v>
      </c>
      <c r="F733">
        <v>240</v>
      </c>
      <c r="G733" s="3">
        <v>1</v>
      </c>
      <c r="H733">
        <v>1755</v>
      </c>
      <c r="I733" t="s">
        <v>181</v>
      </c>
      <c r="J733">
        <v>17</v>
      </c>
      <c r="K733">
        <v>19</v>
      </c>
      <c r="L733">
        <v>4</v>
      </c>
      <c r="M733">
        <v>2</v>
      </c>
    </row>
    <row r="734" spans="1:13" x14ac:dyDescent="0.25">
      <c r="A734">
        <v>733</v>
      </c>
      <c r="B734">
        <v>47</v>
      </c>
      <c r="C734">
        <v>27</v>
      </c>
      <c r="D734" s="2">
        <v>42222.533784722225</v>
      </c>
      <c r="E734" t="s">
        <v>179</v>
      </c>
      <c r="F734">
        <v>90</v>
      </c>
      <c r="G734" s="3">
        <v>2</v>
      </c>
      <c r="H734">
        <v>1821</v>
      </c>
      <c r="I734" t="s">
        <v>181</v>
      </c>
      <c r="J734">
        <v>11</v>
      </c>
      <c r="K734">
        <v>11</v>
      </c>
      <c r="L734">
        <v>10</v>
      </c>
      <c r="M734">
        <v>10</v>
      </c>
    </row>
    <row r="735" spans="1:13" x14ac:dyDescent="0.25">
      <c r="A735">
        <v>734</v>
      </c>
      <c r="B735">
        <v>47</v>
      </c>
      <c r="C735">
        <v>8</v>
      </c>
      <c r="D735" s="2">
        <v>42229.098113425927</v>
      </c>
      <c r="E735" t="s">
        <v>179</v>
      </c>
      <c r="F735">
        <v>300</v>
      </c>
      <c r="G735" s="3">
        <v>3</v>
      </c>
      <c r="H735">
        <v>1887</v>
      </c>
      <c r="I735" t="s">
        <v>181</v>
      </c>
      <c r="J735">
        <v>8</v>
      </c>
      <c r="K735">
        <v>17</v>
      </c>
      <c r="L735">
        <v>13</v>
      </c>
      <c r="M735">
        <v>4</v>
      </c>
    </row>
    <row r="736" spans="1:13" x14ac:dyDescent="0.25">
      <c r="A736">
        <v>735</v>
      </c>
      <c r="B736">
        <v>47</v>
      </c>
      <c r="C736">
        <v>29</v>
      </c>
      <c r="D736" s="2">
        <v>42223.401504629626</v>
      </c>
      <c r="E736" t="s">
        <v>179</v>
      </c>
      <c r="F736">
        <v>150</v>
      </c>
      <c r="G736" s="3">
        <v>4</v>
      </c>
      <c r="H736">
        <v>0</v>
      </c>
      <c r="I736" t="s">
        <v>182</v>
      </c>
      <c r="J736">
        <v>0</v>
      </c>
      <c r="K736">
        <v>0</v>
      </c>
      <c r="L736">
        <v>0</v>
      </c>
      <c r="M736">
        <v>0</v>
      </c>
    </row>
    <row r="737" spans="1:13" x14ac:dyDescent="0.25">
      <c r="A737">
        <v>736</v>
      </c>
      <c r="B737">
        <v>47</v>
      </c>
      <c r="C737">
        <v>10</v>
      </c>
      <c r="D737" s="2">
        <v>42229.498032407406</v>
      </c>
      <c r="E737" t="s">
        <v>179</v>
      </c>
      <c r="F737">
        <v>0</v>
      </c>
      <c r="G737" s="3">
        <v>5</v>
      </c>
      <c r="H737">
        <v>1842</v>
      </c>
      <c r="I737" t="s">
        <v>181</v>
      </c>
      <c r="J737">
        <v>10</v>
      </c>
      <c r="K737">
        <v>6</v>
      </c>
      <c r="L737">
        <v>11</v>
      </c>
      <c r="M737">
        <v>15</v>
      </c>
    </row>
    <row r="738" spans="1:13" x14ac:dyDescent="0.25">
      <c r="A738">
        <v>737</v>
      </c>
      <c r="B738">
        <v>47</v>
      </c>
      <c r="C738">
        <v>12</v>
      </c>
      <c r="D738" s="2">
        <v>42223.439201388886</v>
      </c>
      <c r="E738" t="s">
        <v>179</v>
      </c>
      <c r="F738">
        <v>180</v>
      </c>
      <c r="G738" s="3">
        <v>6</v>
      </c>
      <c r="H738">
        <v>1820</v>
      </c>
      <c r="I738" t="s">
        <v>181</v>
      </c>
      <c r="J738">
        <v>12</v>
      </c>
      <c r="K738">
        <v>15</v>
      </c>
      <c r="L738">
        <v>9</v>
      </c>
      <c r="M738">
        <v>6</v>
      </c>
    </row>
    <row r="739" spans="1:13" x14ac:dyDescent="0.25">
      <c r="A739">
        <v>738</v>
      </c>
      <c r="B739">
        <v>47</v>
      </c>
      <c r="C739">
        <v>23</v>
      </c>
      <c r="D739" s="2">
        <v>42225.629166666666</v>
      </c>
      <c r="E739" t="s">
        <v>179</v>
      </c>
      <c r="F739">
        <v>150</v>
      </c>
      <c r="G739" s="3">
        <v>7</v>
      </c>
      <c r="H739">
        <v>1798</v>
      </c>
      <c r="I739" t="s">
        <v>181</v>
      </c>
      <c r="J739">
        <v>14</v>
      </c>
      <c r="K739">
        <v>14</v>
      </c>
      <c r="L739">
        <v>7</v>
      </c>
      <c r="M739">
        <v>7</v>
      </c>
    </row>
    <row r="740" spans="1:13" x14ac:dyDescent="0.25">
      <c r="A740">
        <v>739</v>
      </c>
      <c r="B740">
        <v>47</v>
      </c>
      <c r="C740">
        <v>14</v>
      </c>
      <c r="D740" s="2">
        <v>42227.903668981482</v>
      </c>
      <c r="E740" t="s">
        <v>179</v>
      </c>
      <c r="F740">
        <v>60</v>
      </c>
      <c r="G740" s="3">
        <v>8</v>
      </c>
      <c r="H740">
        <v>1776</v>
      </c>
      <c r="I740" t="s">
        <v>181</v>
      </c>
      <c r="J740">
        <v>15</v>
      </c>
      <c r="K740">
        <v>12</v>
      </c>
      <c r="L740">
        <v>6</v>
      </c>
      <c r="M740">
        <v>9</v>
      </c>
    </row>
    <row r="741" spans="1:13" x14ac:dyDescent="0.25">
      <c r="A741">
        <v>740</v>
      </c>
      <c r="B741">
        <v>47</v>
      </c>
      <c r="C741">
        <v>15</v>
      </c>
      <c r="D741" s="2">
        <v>42229.094143518516</v>
      </c>
      <c r="E741" t="s">
        <v>179</v>
      </c>
      <c r="F741">
        <v>0</v>
      </c>
      <c r="G741" s="3">
        <v>9</v>
      </c>
      <c r="H741">
        <v>1754</v>
      </c>
      <c r="I741" t="s">
        <v>181</v>
      </c>
      <c r="J741">
        <v>18</v>
      </c>
      <c r="K741">
        <v>10</v>
      </c>
      <c r="L741">
        <v>3</v>
      </c>
      <c r="M741">
        <v>11</v>
      </c>
    </row>
    <row r="742" spans="1:13" x14ac:dyDescent="0.25">
      <c r="A742">
        <v>741</v>
      </c>
      <c r="B742">
        <v>47</v>
      </c>
      <c r="C742">
        <v>18</v>
      </c>
      <c r="D742" s="2">
        <v>42223.10633101852</v>
      </c>
      <c r="E742" t="s">
        <v>179</v>
      </c>
      <c r="F742">
        <v>240</v>
      </c>
      <c r="G742" s="3">
        <v>10</v>
      </c>
      <c r="H742">
        <v>1733</v>
      </c>
      <c r="I742" t="s">
        <v>181</v>
      </c>
      <c r="J742">
        <v>19</v>
      </c>
      <c r="K742">
        <v>20</v>
      </c>
      <c r="L742">
        <v>2</v>
      </c>
      <c r="M742">
        <v>1</v>
      </c>
    </row>
    <row r="743" spans="1:13" x14ac:dyDescent="0.25">
      <c r="A743">
        <v>742</v>
      </c>
      <c r="B743">
        <v>47</v>
      </c>
      <c r="C743">
        <v>7</v>
      </c>
      <c r="D743" s="2">
        <v>42226.297500000001</v>
      </c>
      <c r="E743" t="s">
        <v>179</v>
      </c>
      <c r="F743">
        <v>180</v>
      </c>
      <c r="G743" s="3">
        <v>11</v>
      </c>
      <c r="H743">
        <v>1711</v>
      </c>
      <c r="I743" t="s">
        <v>181</v>
      </c>
      <c r="J743">
        <v>20</v>
      </c>
      <c r="K743">
        <v>18</v>
      </c>
      <c r="L743">
        <v>1</v>
      </c>
      <c r="M743">
        <v>3</v>
      </c>
    </row>
    <row r="744" spans="1:13" x14ac:dyDescent="0.25">
      <c r="A744">
        <v>743</v>
      </c>
      <c r="B744">
        <v>47</v>
      </c>
      <c r="C744">
        <v>17</v>
      </c>
      <c r="D744" s="2">
        <v>42222.571493055555</v>
      </c>
      <c r="E744" t="s">
        <v>179</v>
      </c>
      <c r="F744">
        <v>120</v>
      </c>
      <c r="G744" s="3">
        <v>12</v>
      </c>
      <c r="H744">
        <v>1946</v>
      </c>
      <c r="I744" t="s">
        <v>181</v>
      </c>
      <c r="J744">
        <v>4</v>
      </c>
      <c r="K744">
        <v>7</v>
      </c>
      <c r="L744">
        <v>17</v>
      </c>
      <c r="M744">
        <v>14</v>
      </c>
    </row>
    <row r="745" spans="1:13" x14ac:dyDescent="0.25">
      <c r="A745">
        <v>744</v>
      </c>
      <c r="B745">
        <v>47</v>
      </c>
      <c r="C745">
        <v>30</v>
      </c>
      <c r="D745" s="2">
        <v>42224.511261574073</v>
      </c>
      <c r="E745" t="s">
        <v>179</v>
      </c>
      <c r="F745">
        <v>30</v>
      </c>
      <c r="G745" s="3">
        <v>13</v>
      </c>
      <c r="H745">
        <v>1924</v>
      </c>
      <c r="I745" t="s">
        <v>181</v>
      </c>
      <c r="J745">
        <v>6</v>
      </c>
      <c r="K745">
        <v>4</v>
      </c>
      <c r="L745">
        <v>15</v>
      </c>
      <c r="M745">
        <v>17</v>
      </c>
    </row>
    <row r="746" spans="1:13" x14ac:dyDescent="0.25">
      <c r="A746">
        <v>745</v>
      </c>
      <c r="B746">
        <v>47</v>
      </c>
      <c r="C746">
        <v>19</v>
      </c>
      <c r="D746" s="2">
        <v>42226.74428240741</v>
      </c>
      <c r="E746" t="s">
        <v>179</v>
      </c>
      <c r="F746">
        <v>0</v>
      </c>
      <c r="G746" s="3">
        <v>14</v>
      </c>
      <c r="H746">
        <v>0</v>
      </c>
      <c r="I746" t="s">
        <v>180</v>
      </c>
      <c r="J746">
        <v>0</v>
      </c>
      <c r="K746">
        <v>0</v>
      </c>
      <c r="L746">
        <v>0</v>
      </c>
      <c r="M746">
        <v>0</v>
      </c>
    </row>
    <row r="747" spans="1:13" x14ac:dyDescent="0.25">
      <c r="A747">
        <v>746</v>
      </c>
      <c r="B747">
        <v>47</v>
      </c>
      <c r="C747">
        <v>5</v>
      </c>
      <c r="D747" s="2">
        <v>42224.783310185187</v>
      </c>
      <c r="E747" t="s">
        <v>179</v>
      </c>
      <c r="F747">
        <v>120</v>
      </c>
      <c r="G747" s="3">
        <v>15</v>
      </c>
      <c r="H747">
        <v>0</v>
      </c>
      <c r="I747" t="s">
        <v>182</v>
      </c>
      <c r="J747">
        <v>0</v>
      </c>
      <c r="K747">
        <v>0</v>
      </c>
      <c r="L747">
        <v>0</v>
      </c>
      <c r="M747">
        <v>0</v>
      </c>
    </row>
    <row r="748" spans="1:13" x14ac:dyDescent="0.25">
      <c r="A748">
        <v>747</v>
      </c>
      <c r="B748">
        <v>47</v>
      </c>
      <c r="C748">
        <v>20</v>
      </c>
      <c r="D748" s="2">
        <v>42229.569467592592</v>
      </c>
      <c r="E748" t="s">
        <v>179</v>
      </c>
      <c r="F748">
        <v>60</v>
      </c>
      <c r="G748" s="3">
        <v>16</v>
      </c>
      <c r="H748">
        <v>0</v>
      </c>
      <c r="I748" t="s">
        <v>182</v>
      </c>
      <c r="J748">
        <v>0</v>
      </c>
      <c r="K748">
        <v>0</v>
      </c>
      <c r="L748">
        <v>0</v>
      </c>
      <c r="M748">
        <v>0</v>
      </c>
    </row>
    <row r="749" spans="1:13" x14ac:dyDescent="0.25">
      <c r="A749">
        <v>748</v>
      </c>
      <c r="B749">
        <v>47</v>
      </c>
      <c r="C749">
        <v>31</v>
      </c>
      <c r="D749" s="2">
        <v>42226.520543981482</v>
      </c>
      <c r="E749" t="s">
        <v>179</v>
      </c>
      <c r="F749">
        <v>90</v>
      </c>
      <c r="G749" s="3">
        <v>17</v>
      </c>
      <c r="H749">
        <v>1935</v>
      </c>
      <c r="I749" t="s">
        <v>181</v>
      </c>
      <c r="J749">
        <v>5</v>
      </c>
      <c r="K749">
        <v>5</v>
      </c>
      <c r="L749">
        <v>16</v>
      </c>
      <c r="M749">
        <v>16</v>
      </c>
    </row>
    <row r="750" spans="1:13" x14ac:dyDescent="0.25">
      <c r="A750">
        <v>749</v>
      </c>
      <c r="B750">
        <v>47</v>
      </c>
      <c r="C750">
        <v>22</v>
      </c>
      <c r="D750" s="2">
        <v>42225.14340277778</v>
      </c>
      <c r="E750" t="s">
        <v>179</v>
      </c>
      <c r="F750">
        <v>150</v>
      </c>
      <c r="G750" s="3">
        <v>18</v>
      </c>
      <c r="H750">
        <v>1818</v>
      </c>
      <c r="I750" t="s">
        <v>181</v>
      </c>
      <c r="J750">
        <v>13</v>
      </c>
      <c r="K750">
        <v>13</v>
      </c>
      <c r="L750">
        <v>8</v>
      </c>
      <c r="M750">
        <v>8</v>
      </c>
    </row>
    <row r="751" spans="1:13" x14ac:dyDescent="0.25">
      <c r="A751">
        <v>750</v>
      </c>
      <c r="B751">
        <v>47</v>
      </c>
      <c r="C751">
        <v>16</v>
      </c>
      <c r="D751" s="2">
        <v>42222.735011574077</v>
      </c>
      <c r="E751" t="s">
        <v>179</v>
      </c>
      <c r="F751">
        <v>270</v>
      </c>
      <c r="G751" s="3">
        <v>19</v>
      </c>
      <c r="H751">
        <v>1891</v>
      </c>
      <c r="I751" t="s">
        <v>181</v>
      </c>
      <c r="J751">
        <v>7</v>
      </c>
      <c r="K751">
        <v>16</v>
      </c>
      <c r="L751">
        <v>14</v>
      </c>
      <c r="M751">
        <v>5</v>
      </c>
    </row>
    <row r="752" spans="1:13" x14ac:dyDescent="0.25">
      <c r="A752">
        <v>751</v>
      </c>
      <c r="B752">
        <v>47</v>
      </c>
      <c r="C752">
        <v>2</v>
      </c>
      <c r="D752" s="2">
        <v>42229.607175925928</v>
      </c>
      <c r="E752" t="s">
        <v>179</v>
      </c>
      <c r="F752">
        <v>0</v>
      </c>
      <c r="G752" s="3">
        <v>20</v>
      </c>
      <c r="H752">
        <v>1774</v>
      </c>
      <c r="I752" t="s">
        <v>181</v>
      </c>
      <c r="J752">
        <v>16</v>
      </c>
      <c r="K752">
        <v>8</v>
      </c>
      <c r="L752">
        <v>5</v>
      </c>
      <c r="M752">
        <v>13</v>
      </c>
    </row>
    <row r="753" spans="1:13" x14ac:dyDescent="0.25">
      <c r="A753">
        <v>752</v>
      </c>
      <c r="B753">
        <v>47</v>
      </c>
      <c r="C753">
        <v>9</v>
      </c>
      <c r="D753" s="2">
        <v>42226.188368055555</v>
      </c>
      <c r="E753" t="s">
        <v>179</v>
      </c>
      <c r="F753">
        <v>90</v>
      </c>
      <c r="G753" s="3">
        <v>21</v>
      </c>
      <c r="H753">
        <v>1847</v>
      </c>
      <c r="I753" t="s">
        <v>181</v>
      </c>
      <c r="J753">
        <v>9</v>
      </c>
      <c r="K753">
        <v>9</v>
      </c>
      <c r="L753">
        <v>12</v>
      </c>
      <c r="M753">
        <v>12</v>
      </c>
    </row>
    <row r="754" spans="1:13" x14ac:dyDescent="0.25">
      <c r="A754">
        <v>753</v>
      </c>
      <c r="B754">
        <v>48</v>
      </c>
      <c r="C754">
        <v>29</v>
      </c>
      <c r="D754" s="2">
        <v>42250.550879629627</v>
      </c>
      <c r="E754" t="s">
        <v>179</v>
      </c>
      <c r="F754">
        <v>180</v>
      </c>
      <c r="G754" s="3">
        <v>1</v>
      </c>
      <c r="H754">
        <v>1391</v>
      </c>
      <c r="I754" t="s">
        <v>181</v>
      </c>
      <c r="J754">
        <v>20</v>
      </c>
      <c r="K754">
        <v>20</v>
      </c>
      <c r="L754">
        <v>1</v>
      </c>
      <c r="M754">
        <v>1</v>
      </c>
    </row>
    <row r="755" spans="1:13" x14ac:dyDescent="0.25">
      <c r="A755">
        <v>754</v>
      </c>
      <c r="B755">
        <v>49</v>
      </c>
      <c r="C755">
        <v>14</v>
      </c>
      <c r="D755" s="2">
        <v>42257.69427083333</v>
      </c>
      <c r="E755" t="s">
        <v>179</v>
      </c>
      <c r="F755">
        <v>60</v>
      </c>
      <c r="G755" s="3">
        <v>1</v>
      </c>
      <c r="H755">
        <v>0</v>
      </c>
      <c r="I755" t="s">
        <v>180</v>
      </c>
      <c r="J755">
        <v>0</v>
      </c>
      <c r="K755">
        <v>0</v>
      </c>
      <c r="L755">
        <v>0</v>
      </c>
      <c r="M755">
        <v>0</v>
      </c>
    </row>
    <row r="756" spans="1:13" x14ac:dyDescent="0.25">
      <c r="A756">
        <v>755</v>
      </c>
      <c r="B756">
        <v>49</v>
      </c>
      <c r="C756">
        <v>19</v>
      </c>
      <c r="D756" s="2">
        <v>42255.054363425923</v>
      </c>
      <c r="E756" t="s">
        <v>179</v>
      </c>
      <c r="F756">
        <v>180</v>
      </c>
      <c r="G756" s="3">
        <v>2</v>
      </c>
      <c r="H756">
        <v>1322</v>
      </c>
      <c r="I756" t="s">
        <v>181</v>
      </c>
      <c r="J756">
        <v>13</v>
      </c>
      <c r="K756">
        <v>12</v>
      </c>
      <c r="L756">
        <v>8</v>
      </c>
      <c r="M756">
        <v>9</v>
      </c>
    </row>
    <row r="757" spans="1:13" x14ac:dyDescent="0.25">
      <c r="A757">
        <v>756</v>
      </c>
      <c r="B757">
        <v>49</v>
      </c>
      <c r="C757">
        <v>1</v>
      </c>
      <c r="D757" s="2">
        <v>42252.341585648152</v>
      </c>
      <c r="E757" t="s">
        <v>179</v>
      </c>
      <c r="F757">
        <v>150</v>
      </c>
      <c r="G757" s="3">
        <v>3</v>
      </c>
      <c r="H757">
        <v>1316</v>
      </c>
      <c r="I757" t="s">
        <v>181</v>
      </c>
      <c r="J757">
        <v>14</v>
      </c>
      <c r="K757">
        <v>11</v>
      </c>
      <c r="L757">
        <v>7</v>
      </c>
      <c r="M757">
        <v>10</v>
      </c>
    </row>
    <row r="758" spans="1:13" x14ac:dyDescent="0.25">
      <c r="A758">
        <v>757</v>
      </c>
      <c r="B758">
        <v>49</v>
      </c>
      <c r="C758">
        <v>3</v>
      </c>
      <c r="D758" s="2">
        <v>42256.909363425926</v>
      </c>
      <c r="E758" t="s">
        <v>179</v>
      </c>
      <c r="F758">
        <v>240</v>
      </c>
      <c r="G758" s="3">
        <v>4</v>
      </c>
      <c r="H758">
        <v>1358</v>
      </c>
      <c r="I758" t="s">
        <v>181</v>
      </c>
      <c r="J758">
        <v>10</v>
      </c>
      <c r="K758">
        <v>14</v>
      </c>
      <c r="L758">
        <v>11</v>
      </c>
      <c r="M758">
        <v>7</v>
      </c>
    </row>
    <row r="759" spans="1:13" x14ac:dyDescent="0.25">
      <c r="A759">
        <v>758</v>
      </c>
      <c r="B759">
        <v>49</v>
      </c>
      <c r="C759">
        <v>18</v>
      </c>
      <c r="D759" s="2">
        <v>42259.154224537036</v>
      </c>
      <c r="E759" t="s">
        <v>179</v>
      </c>
      <c r="F759">
        <v>180</v>
      </c>
      <c r="G759" s="3">
        <v>5</v>
      </c>
      <c r="H759">
        <v>1401</v>
      </c>
      <c r="I759" t="s">
        <v>181</v>
      </c>
      <c r="J759">
        <v>7</v>
      </c>
      <c r="K759">
        <v>9</v>
      </c>
      <c r="L759">
        <v>14</v>
      </c>
      <c r="M759">
        <v>12</v>
      </c>
    </row>
    <row r="760" spans="1:13" x14ac:dyDescent="0.25">
      <c r="A760">
        <v>759</v>
      </c>
      <c r="B760">
        <v>49</v>
      </c>
      <c r="C760">
        <v>6</v>
      </c>
      <c r="D760" s="2">
        <v>42255.733287037037</v>
      </c>
      <c r="E760" t="s">
        <v>179</v>
      </c>
      <c r="F760">
        <v>180</v>
      </c>
      <c r="G760" s="3">
        <v>6</v>
      </c>
      <c r="H760">
        <v>1395</v>
      </c>
      <c r="I760" t="s">
        <v>181</v>
      </c>
      <c r="J760">
        <v>8</v>
      </c>
      <c r="K760">
        <v>10</v>
      </c>
      <c r="L760">
        <v>13</v>
      </c>
      <c r="M760">
        <v>11</v>
      </c>
    </row>
    <row r="761" spans="1:13" x14ac:dyDescent="0.25">
      <c r="A761">
        <v>760</v>
      </c>
      <c r="B761">
        <v>49</v>
      </c>
      <c r="C761">
        <v>12</v>
      </c>
      <c r="D761" s="2">
        <v>42252.967731481483</v>
      </c>
      <c r="E761" t="s">
        <v>179</v>
      </c>
      <c r="F761">
        <v>270</v>
      </c>
      <c r="G761" s="3">
        <v>7</v>
      </c>
      <c r="H761">
        <v>1253</v>
      </c>
      <c r="I761" t="s">
        <v>181</v>
      </c>
      <c r="J761">
        <v>18</v>
      </c>
      <c r="K761">
        <v>20</v>
      </c>
      <c r="L761">
        <v>3</v>
      </c>
      <c r="M761">
        <v>1</v>
      </c>
    </row>
    <row r="762" spans="1:13" x14ac:dyDescent="0.25">
      <c r="A762">
        <v>761</v>
      </c>
      <c r="B762">
        <v>49</v>
      </c>
      <c r="C762">
        <v>11</v>
      </c>
      <c r="D762" s="2">
        <v>42257.545925925922</v>
      </c>
      <c r="E762" t="s">
        <v>179</v>
      </c>
      <c r="F762">
        <v>240</v>
      </c>
      <c r="G762" s="3">
        <v>8</v>
      </c>
      <c r="H762">
        <v>1296</v>
      </c>
      <c r="I762" t="s">
        <v>181</v>
      </c>
      <c r="J762">
        <v>15</v>
      </c>
      <c r="K762">
        <v>17</v>
      </c>
      <c r="L762">
        <v>6</v>
      </c>
      <c r="M762">
        <v>4</v>
      </c>
    </row>
    <row r="763" spans="1:13" x14ac:dyDescent="0.25">
      <c r="A763">
        <v>762</v>
      </c>
      <c r="B763">
        <v>49</v>
      </c>
      <c r="C763">
        <v>16</v>
      </c>
      <c r="D763" s="2">
        <v>42253.82203703704</v>
      </c>
      <c r="E763" t="s">
        <v>179</v>
      </c>
      <c r="F763">
        <v>240</v>
      </c>
      <c r="G763" s="3">
        <v>9</v>
      </c>
      <c r="H763">
        <v>1338</v>
      </c>
      <c r="I763" t="s">
        <v>181</v>
      </c>
      <c r="J763">
        <v>11</v>
      </c>
      <c r="K763">
        <v>16</v>
      </c>
      <c r="L763">
        <v>10</v>
      </c>
      <c r="M763">
        <v>5</v>
      </c>
    </row>
    <row r="764" spans="1:13" x14ac:dyDescent="0.25">
      <c r="A764">
        <v>763</v>
      </c>
      <c r="B764">
        <v>49</v>
      </c>
      <c r="C764">
        <v>22</v>
      </c>
      <c r="D764" s="2">
        <v>42258.109444444446</v>
      </c>
      <c r="E764" t="s">
        <v>179</v>
      </c>
      <c r="F764">
        <v>300</v>
      </c>
      <c r="G764" s="3">
        <v>10</v>
      </c>
      <c r="H764">
        <v>1332</v>
      </c>
      <c r="I764" t="s">
        <v>181</v>
      </c>
      <c r="J764">
        <v>12</v>
      </c>
      <c r="K764">
        <v>18</v>
      </c>
      <c r="L764">
        <v>9</v>
      </c>
      <c r="M764">
        <v>3</v>
      </c>
    </row>
    <row r="765" spans="1:13" x14ac:dyDescent="0.25">
      <c r="A765">
        <v>764</v>
      </c>
      <c r="B765">
        <v>49</v>
      </c>
      <c r="C765">
        <v>31</v>
      </c>
      <c r="D765" s="2">
        <v>42252.63486111111</v>
      </c>
      <c r="E765" t="s">
        <v>179</v>
      </c>
      <c r="F765">
        <v>270</v>
      </c>
      <c r="G765" s="3">
        <v>11</v>
      </c>
      <c r="H765">
        <v>1374</v>
      </c>
      <c r="I765" t="s">
        <v>181</v>
      </c>
      <c r="J765">
        <v>9</v>
      </c>
      <c r="K765">
        <v>15</v>
      </c>
      <c r="L765">
        <v>12</v>
      </c>
      <c r="M765">
        <v>6</v>
      </c>
    </row>
    <row r="766" spans="1:13" x14ac:dyDescent="0.25">
      <c r="A766">
        <v>765</v>
      </c>
      <c r="B766">
        <v>49</v>
      </c>
      <c r="C766">
        <v>7</v>
      </c>
      <c r="D766" s="2">
        <v>42257.922777777778</v>
      </c>
      <c r="E766" t="s">
        <v>179</v>
      </c>
      <c r="F766">
        <v>240</v>
      </c>
      <c r="G766" s="3">
        <v>12</v>
      </c>
      <c r="H766">
        <v>1233</v>
      </c>
      <c r="I766" t="s">
        <v>181</v>
      </c>
      <c r="J766">
        <v>19</v>
      </c>
      <c r="K766">
        <v>19</v>
      </c>
      <c r="L766">
        <v>2</v>
      </c>
      <c r="M766">
        <v>2</v>
      </c>
    </row>
    <row r="767" spans="1:13" x14ac:dyDescent="0.25">
      <c r="A767">
        <v>766</v>
      </c>
      <c r="B767">
        <v>49</v>
      </c>
      <c r="C767">
        <v>30</v>
      </c>
      <c r="D767" s="2">
        <v>42253.459305555552</v>
      </c>
      <c r="E767" t="s">
        <v>179</v>
      </c>
      <c r="F767">
        <v>0</v>
      </c>
      <c r="G767" s="3">
        <v>13</v>
      </c>
      <c r="H767">
        <v>1226</v>
      </c>
      <c r="I767" t="s">
        <v>181</v>
      </c>
      <c r="J767">
        <v>20</v>
      </c>
      <c r="K767">
        <v>8</v>
      </c>
      <c r="L767">
        <v>1</v>
      </c>
      <c r="M767">
        <v>13</v>
      </c>
    </row>
    <row r="768" spans="1:13" x14ac:dyDescent="0.25">
      <c r="A768">
        <v>767</v>
      </c>
      <c r="B768">
        <v>49</v>
      </c>
      <c r="C768">
        <v>10</v>
      </c>
      <c r="D768" s="2">
        <v>42258.777071759258</v>
      </c>
      <c r="E768" t="s">
        <v>179</v>
      </c>
      <c r="F768">
        <v>300</v>
      </c>
      <c r="G768" s="3">
        <v>14</v>
      </c>
      <c r="H768">
        <v>0</v>
      </c>
      <c r="I768" t="s">
        <v>180</v>
      </c>
      <c r="J768">
        <v>0</v>
      </c>
      <c r="K768">
        <v>0</v>
      </c>
      <c r="L768">
        <v>0</v>
      </c>
      <c r="M768">
        <v>0</v>
      </c>
    </row>
    <row r="769" spans="1:13" x14ac:dyDescent="0.25">
      <c r="A769">
        <v>768</v>
      </c>
      <c r="B769">
        <v>49</v>
      </c>
      <c r="C769">
        <v>15</v>
      </c>
      <c r="D769" s="2">
        <v>42252.266180555554</v>
      </c>
      <c r="E769" t="s">
        <v>179</v>
      </c>
      <c r="F769">
        <v>150</v>
      </c>
      <c r="G769" s="3">
        <v>15</v>
      </c>
      <c r="H769">
        <v>1273</v>
      </c>
      <c r="I769" t="s">
        <v>181</v>
      </c>
      <c r="J769">
        <v>16</v>
      </c>
      <c r="K769">
        <v>13</v>
      </c>
      <c r="L769">
        <v>5</v>
      </c>
      <c r="M769">
        <v>8</v>
      </c>
    </row>
    <row r="770" spans="1:13" x14ac:dyDescent="0.25">
      <c r="A770">
        <v>769</v>
      </c>
      <c r="B770">
        <v>49</v>
      </c>
      <c r="C770">
        <v>27</v>
      </c>
      <c r="D770" s="2">
        <v>42254.539988425924</v>
      </c>
      <c r="E770" t="s">
        <v>179</v>
      </c>
      <c r="F770">
        <v>30</v>
      </c>
      <c r="G770" s="3">
        <v>16</v>
      </c>
      <c r="H770">
        <v>1257</v>
      </c>
      <c r="I770" t="s">
        <v>181</v>
      </c>
      <c r="J770">
        <v>17</v>
      </c>
      <c r="K770">
        <v>7</v>
      </c>
      <c r="L770">
        <v>4</v>
      </c>
      <c r="M770">
        <v>14</v>
      </c>
    </row>
    <row r="771" spans="1:13" x14ac:dyDescent="0.25">
      <c r="A771">
        <v>770</v>
      </c>
      <c r="B771">
        <v>50</v>
      </c>
      <c r="C771">
        <v>23</v>
      </c>
      <c r="D771" s="2">
        <v>42265.338240740741</v>
      </c>
      <c r="E771" t="s">
        <v>179</v>
      </c>
      <c r="F771">
        <v>300</v>
      </c>
      <c r="G771" s="3">
        <v>1</v>
      </c>
      <c r="H771">
        <v>0</v>
      </c>
      <c r="I771" t="s">
        <v>180</v>
      </c>
      <c r="J771">
        <v>0</v>
      </c>
      <c r="K771">
        <v>0</v>
      </c>
      <c r="L771">
        <v>0</v>
      </c>
      <c r="M771">
        <v>0</v>
      </c>
    </row>
    <row r="772" spans="1:13" x14ac:dyDescent="0.25">
      <c r="A772">
        <v>771</v>
      </c>
      <c r="B772">
        <v>50</v>
      </c>
      <c r="C772">
        <v>28</v>
      </c>
      <c r="D772" s="2">
        <v>42261.671932870369</v>
      </c>
      <c r="E772" t="s">
        <v>179</v>
      </c>
      <c r="F772">
        <v>240</v>
      </c>
      <c r="G772" s="3">
        <v>2</v>
      </c>
      <c r="H772">
        <v>1387</v>
      </c>
      <c r="I772" t="s">
        <v>181</v>
      </c>
      <c r="J772">
        <v>4</v>
      </c>
      <c r="K772">
        <v>11</v>
      </c>
      <c r="L772">
        <v>17</v>
      </c>
      <c r="M772">
        <v>10</v>
      </c>
    </row>
    <row r="773" spans="1:13" x14ac:dyDescent="0.25">
      <c r="A773">
        <v>772</v>
      </c>
      <c r="B773">
        <v>50</v>
      </c>
      <c r="C773">
        <v>24</v>
      </c>
      <c r="D773" s="2">
        <v>42264.132187499999</v>
      </c>
      <c r="E773" t="s">
        <v>179</v>
      </c>
      <c r="F773">
        <v>150</v>
      </c>
      <c r="G773" s="3">
        <v>3</v>
      </c>
      <c r="H773">
        <v>1275</v>
      </c>
      <c r="I773" t="s">
        <v>181</v>
      </c>
      <c r="J773">
        <v>15</v>
      </c>
      <c r="K773">
        <v>14</v>
      </c>
      <c r="L773">
        <v>6</v>
      </c>
      <c r="M773">
        <v>7</v>
      </c>
    </row>
    <row r="774" spans="1:13" x14ac:dyDescent="0.25">
      <c r="A774">
        <v>773</v>
      </c>
      <c r="B774">
        <v>50</v>
      </c>
      <c r="C774">
        <v>9</v>
      </c>
      <c r="D774" s="2">
        <v>42264.059247685182</v>
      </c>
      <c r="E774" t="s">
        <v>179</v>
      </c>
      <c r="F774">
        <v>30</v>
      </c>
      <c r="G774" s="3">
        <v>4</v>
      </c>
      <c r="H774">
        <v>1385</v>
      </c>
      <c r="I774" t="s">
        <v>181</v>
      </c>
      <c r="J774">
        <v>5</v>
      </c>
      <c r="K774">
        <v>3</v>
      </c>
      <c r="L774">
        <v>16</v>
      </c>
      <c r="M774">
        <v>18</v>
      </c>
    </row>
    <row r="775" spans="1:13" x14ac:dyDescent="0.25">
      <c r="A775">
        <v>774</v>
      </c>
      <c r="B775">
        <v>50</v>
      </c>
      <c r="C775">
        <v>21</v>
      </c>
      <c r="D775" s="2">
        <v>42266.986481481479</v>
      </c>
      <c r="E775" t="s">
        <v>179</v>
      </c>
      <c r="F775">
        <v>180</v>
      </c>
      <c r="G775" s="3">
        <v>5</v>
      </c>
      <c r="H775">
        <v>1311</v>
      </c>
      <c r="I775" t="s">
        <v>181</v>
      </c>
      <c r="J775">
        <v>12</v>
      </c>
      <c r="K775">
        <v>13</v>
      </c>
      <c r="L775">
        <v>9</v>
      </c>
      <c r="M775">
        <v>8</v>
      </c>
    </row>
    <row r="776" spans="1:13" x14ac:dyDescent="0.25">
      <c r="A776">
        <v>775</v>
      </c>
      <c r="B776">
        <v>50</v>
      </c>
      <c r="C776">
        <v>15</v>
      </c>
      <c r="D776" s="2">
        <v>42265.914421296293</v>
      </c>
      <c r="E776" t="s">
        <v>179</v>
      </c>
      <c r="F776">
        <v>60</v>
      </c>
      <c r="G776" s="3">
        <v>6</v>
      </c>
      <c r="H776">
        <v>1238</v>
      </c>
      <c r="I776" t="s">
        <v>181</v>
      </c>
      <c r="J776">
        <v>19</v>
      </c>
      <c r="K776">
        <v>9</v>
      </c>
      <c r="L776">
        <v>2</v>
      </c>
      <c r="M776">
        <v>12</v>
      </c>
    </row>
    <row r="777" spans="1:13" x14ac:dyDescent="0.25">
      <c r="A777">
        <v>776</v>
      </c>
      <c r="B777">
        <v>50</v>
      </c>
      <c r="C777">
        <v>10</v>
      </c>
      <c r="D777" s="2">
        <v>42265.799814814818</v>
      </c>
      <c r="E777" t="s">
        <v>179</v>
      </c>
      <c r="F777">
        <v>270</v>
      </c>
      <c r="G777" s="3">
        <v>7</v>
      </c>
      <c r="H777">
        <v>1348</v>
      </c>
      <c r="I777" t="s">
        <v>181</v>
      </c>
      <c r="J777">
        <v>9</v>
      </c>
      <c r="K777">
        <v>19</v>
      </c>
      <c r="L777">
        <v>12</v>
      </c>
      <c r="M777">
        <v>2</v>
      </c>
    </row>
    <row r="778" spans="1:13" x14ac:dyDescent="0.25">
      <c r="A778">
        <v>777</v>
      </c>
      <c r="B778">
        <v>50</v>
      </c>
      <c r="C778">
        <v>16</v>
      </c>
      <c r="D778" s="2">
        <v>42266.727754629632</v>
      </c>
      <c r="E778" t="s">
        <v>179</v>
      </c>
      <c r="F778">
        <v>120</v>
      </c>
      <c r="G778" s="3">
        <v>8</v>
      </c>
      <c r="H778">
        <v>0</v>
      </c>
      <c r="I778" t="s">
        <v>180</v>
      </c>
      <c r="J778">
        <v>0</v>
      </c>
      <c r="K778">
        <v>0</v>
      </c>
      <c r="L778">
        <v>0</v>
      </c>
      <c r="M778">
        <v>0</v>
      </c>
    </row>
    <row r="779" spans="1:13" x14ac:dyDescent="0.25">
      <c r="A779">
        <v>778</v>
      </c>
      <c r="B779">
        <v>50</v>
      </c>
      <c r="C779">
        <v>17</v>
      </c>
      <c r="D779" s="2">
        <v>42266.579594907409</v>
      </c>
      <c r="E779" t="s">
        <v>179</v>
      </c>
      <c r="F779">
        <v>240</v>
      </c>
      <c r="G779" s="3">
        <v>9</v>
      </c>
      <c r="H779">
        <v>1389</v>
      </c>
      <c r="I779" t="s">
        <v>181</v>
      </c>
      <c r="J779">
        <v>3</v>
      </c>
      <c r="K779">
        <v>10</v>
      </c>
      <c r="L779">
        <v>18</v>
      </c>
      <c r="M779">
        <v>11</v>
      </c>
    </row>
    <row r="780" spans="1:13" x14ac:dyDescent="0.25">
      <c r="A780">
        <v>779</v>
      </c>
      <c r="B780">
        <v>50</v>
      </c>
      <c r="C780">
        <v>12</v>
      </c>
      <c r="D780" s="2">
        <v>42265.129537037035</v>
      </c>
      <c r="E780" t="s">
        <v>179</v>
      </c>
      <c r="F780">
        <v>300</v>
      </c>
      <c r="G780" s="3">
        <v>10</v>
      </c>
      <c r="H780">
        <v>1257</v>
      </c>
      <c r="I780" t="s">
        <v>181</v>
      </c>
      <c r="J780">
        <v>17</v>
      </c>
      <c r="K780">
        <v>20</v>
      </c>
      <c r="L780">
        <v>4</v>
      </c>
      <c r="M780">
        <v>1</v>
      </c>
    </row>
    <row r="781" spans="1:13" x14ac:dyDescent="0.25">
      <c r="A781">
        <v>780</v>
      </c>
      <c r="B781">
        <v>50</v>
      </c>
      <c r="C781">
        <v>1</v>
      </c>
      <c r="D781" s="2">
        <v>42262.751701388886</v>
      </c>
      <c r="E781" t="s">
        <v>179</v>
      </c>
      <c r="F781">
        <v>60</v>
      </c>
      <c r="G781" s="3">
        <v>11</v>
      </c>
      <c r="H781">
        <v>1358</v>
      </c>
      <c r="I781" t="s">
        <v>181</v>
      </c>
      <c r="J781">
        <v>7</v>
      </c>
      <c r="K781">
        <v>5</v>
      </c>
      <c r="L781">
        <v>14</v>
      </c>
      <c r="M781">
        <v>16</v>
      </c>
    </row>
    <row r="782" spans="1:13" x14ac:dyDescent="0.25">
      <c r="A782">
        <v>781</v>
      </c>
      <c r="B782">
        <v>50</v>
      </c>
      <c r="C782">
        <v>8</v>
      </c>
      <c r="D782" s="2">
        <v>42261.374560185184</v>
      </c>
      <c r="E782" t="s">
        <v>179</v>
      </c>
      <c r="F782">
        <v>120</v>
      </c>
      <c r="G782" s="3">
        <v>12</v>
      </c>
      <c r="H782">
        <v>1226</v>
      </c>
      <c r="I782" t="s">
        <v>181</v>
      </c>
      <c r="J782">
        <v>20</v>
      </c>
      <c r="K782">
        <v>16</v>
      </c>
      <c r="L782">
        <v>1</v>
      </c>
      <c r="M782">
        <v>5</v>
      </c>
    </row>
    <row r="783" spans="1:13" x14ac:dyDescent="0.25">
      <c r="A783">
        <v>782</v>
      </c>
      <c r="B783">
        <v>50</v>
      </c>
      <c r="C783">
        <v>2</v>
      </c>
      <c r="D783" s="2">
        <v>42260.216168981482</v>
      </c>
      <c r="E783" t="s">
        <v>179</v>
      </c>
      <c r="F783">
        <v>240</v>
      </c>
      <c r="G783" s="3">
        <v>13</v>
      </c>
      <c r="H783">
        <v>1326</v>
      </c>
      <c r="I783" t="s">
        <v>181</v>
      </c>
      <c r="J783">
        <v>11</v>
      </c>
      <c r="K783">
        <v>18</v>
      </c>
      <c r="L783">
        <v>10</v>
      </c>
      <c r="M783">
        <v>3</v>
      </c>
    </row>
    <row r="784" spans="1:13" x14ac:dyDescent="0.25">
      <c r="A784">
        <v>783</v>
      </c>
      <c r="B784">
        <v>50</v>
      </c>
      <c r="C784">
        <v>26</v>
      </c>
      <c r="D784" s="2">
        <v>42265.796666666669</v>
      </c>
      <c r="E784" t="s">
        <v>179</v>
      </c>
      <c r="F784">
        <v>60</v>
      </c>
      <c r="G784" s="3">
        <v>14</v>
      </c>
      <c r="H784">
        <v>1378</v>
      </c>
      <c r="I784" t="s">
        <v>181</v>
      </c>
      <c r="J784">
        <v>6</v>
      </c>
      <c r="K784">
        <v>4</v>
      </c>
      <c r="L784">
        <v>15</v>
      </c>
      <c r="M784">
        <v>17</v>
      </c>
    </row>
    <row r="785" spans="1:13" x14ac:dyDescent="0.25">
      <c r="A785">
        <v>784</v>
      </c>
      <c r="B785">
        <v>50</v>
      </c>
      <c r="C785">
        <v>29</v>
      </c>
      <c r="D785" s="2">
        <v>42264.41951388889</v>
      </c>
      <c r="E785" t="s">
        <v>179</v>
      </c>
      <c r="F785">
        <v>150</v>
      </c>
      <c r="G785" s="3">
        <v>15</v>
      </c>
      <c r="H785">
        <v>1295</v>
      </c>
      <c r="I785" t="s">
        <v>181</v>
      </c>
      <c r="J785">
        <v>13</v>
      </c>
      <c r="K785">
        <v>12</v>
      </c>
      <c r="L785">
        <v>8</v>
      </c>
      <c r="M785">
        <v>9</v>
      </c>
    </row>
    <row r="786" spans="1:13" x14ac:dyDescent="0.25">
      <c r="A786">
        <v>785</v>
      </c>
      <c r="B786">
        <v>50</v>
      </c>
      <c r="C786">
        <v>19</v>
      </c>
      <c r="D786" s="2">
        <v>42261.011631944442</v>
      </c>
      <c r="E786" t="s">
        <v>179</v>
      </c>
      <c r="F786">
        <v>240</v>
      </c>
      <c r="G786" s="3">
        <v>16</v>
      </c>
      <c r="H786">
        <v>1347</v>
      </c>
      <c r="I786" t="s">
        <v>181</v>
      </c>
      <c r="J786">
        <v>10</v>
      </c>
      <c r="K786">
        <v>15</v>
      </c>
      <c r="L786">
        <v>11</v>
      </c>
      <c r="M786">
        <v>6</v>
      </c>
    </row>
    <row r="787" spans="1:13" x14ac:dyDescent="0.25">
      <c r="A787">
        <v>786</v>
      </c>
      <c r="B787">
        <v>50</v>
      </c>
      <c r="C787">
        <v>13</v>
      </c>
      <c r="D787" s="2">
        <v>42260.592824074076</v>
      </c>
      <c r="E787" t="s">
        <v>179</v>
      </c>
      <c r="F787">
        <v>0</v>
      </c>
      <c r="G787" s="3">
        <v>17</v>
      </c>
      <c r="H787">
        <v>1264</v>
      </c>
      <c r="I787" t="s">
        <v>181</v>
      </c>
      <c r="J787">
        <v>16</v>
      </c>
      <c r="K787">
        <v>6</v>
      </c>
      <c r="L787">
        <v>5</v>
      </c>
      <c r="M787">
        <v>15</v>
      </c>
    </row>
    <row r="788" spans="1:13" x14ac:dyDescent="0.25">
      <c r="A788">
        <v>787</v>
      </c>
      <c r="B788">
        <v>50</v>
      </c>
      <c r="C788">
        <v>20</v>
      </c>
      <c r="D788" s="2">
        <v>42260.464988425927</v>
      </c>
      <c r="E788" t="s">
        <v>179</v>
      </c>
      <c r="F788">
        <v>60</v>
      </c>
      <c r="G788" s="3">
        <v>18</v>
      </c>
      <c r="H788">
        <v>0</v>
      </c>
      <c r="I788" t="s">
        <v>182</v>
      </c>
      <c r="J788">
        <v>0</v>
      </c>
      <c r="K788">
        <v>0</v>
      </c>
      <c r="L788">
        <v>0</v>
      </c>
      <c r="M788">
        <v>0</v>
      </c>
    </row>
    <row r="789" spans="1:13" x14ac:dyDescent="0.25">
      <c r="A789">
        <v>788</v>
      </c>
      <c r="B789">
        <v>50</v>
      </c>
      <c r="C789">
        <v>31</v>
      </c>
      <c r="D789" s="2">
        <v>42263.753020833334</v>
      </c>
      <c r="E789" t="s">
        <v>179</v>
      </c>
      <c r="F789">
        <v>150</v>
      </c>
      <c r="G789" s="3">
        <v>19</v>
      </c>
      <c r="H789">
        <v>1251</v>
      </c>
      <c r="I789" t="s">
        <v>181</v>
      </c>
      <c r="J789">
        <v>18</v>
      </c>
      <c r="K789">
        <v>17</v>
      </c>
      <c r="L789">
        <v>3</v>
      </c>
      <c r="M789">
        <v>4</v>
      </c>
    </row>
    <row r="790" spans="1:13" x14ac:dyDescent="0.25">
      <c r="A790">
        <v>789</v>
      </c>
      <c r="B790">
        <v>50</v>
      </c>
      <c r="C790">
        <v>14</v>
      </c>
      <c r="D790" s="2">
        <v>42259.652986111112</v>
      </c>
      <c r="E790" t="s">
        <v>179</v>
      </c>
      <c r="F790">
        <v>120</v>
      </c>
      <c r="G790" s="3">
        <v>20</v>
      </c>
      <c r="H790">
        <v>1356</v>
      </c>
      <c r="I790" t="s">
        <v>181</v>
      </c>
      <c r="J790">
        <v>8</v>
      </c>
      <c r="K790">
        <v>7</v>
      </c>
      <c r="L790">
        <v>13</v>
      </c>
      <c r="M790">
        <v>14</v>
      </c>
    </row>
    <row r="791" spans="1:13" x14ac:dyDescent="0.25">
      <c r="A791">
        <v>790</v>
      </c>
      <c r="B791">
        <v>50</v>
      </c>
      <c r="C791">
        <v>4</v>
      </c>
      <c r="D791" s="2">
        <v>42261.261273148149</v>
      </c>
      <c r="E791" t="s">
        <v>179</v>
      </c>
      <c r="F791">
        <v>90</v>
      </c>
      <c r="G791" s="3">
        <v>21</v>
      </c>
      <c r="H791">
        <v>1277</v>
      </c>
      <c r="I791" t="s">
        <v>181</v>
      </c>
      <c r="J791">
        <v>14</v>
      </c>
      <c r="K791">
        <v>8</v>
      </c>
      <c r="L791">
        <v>7</v>
      </c>
      <c r="M791">
        <v>13</v>
      </c>
    </row>
    <row r="792" spans="1:13" x14ac:dyDescent="0.25">
      <c r="A792">
        <v>791</v>
      </c>
      <c r="B792">
        <v>50</v>
      </c>
      <c r="C792">
        <v>3</v>
      </c>
      <c r="D792" s="2">
        <v>42264.130856481483</v>
      </c>
      <c r="E792" t="s">
        <v>179</v>
      </c>
      <c r="F792">
        <v>60</v>
      </c>
      <c r="G792" s="3">
        <v>22</v>
      </c>
      <c r="H792">
        <v>0</v>
      </c>
      <c r="I792" t="s">
        <v>180</v>
      </c>
      <c r="J792">
        <v>0</v>
      </c>
      <c r="K792">
        <v>0</v>
      </c>
      <c r="L792">
        <v>0</v>
      </c>
      <c r="M792">
        <v>0</v>
      </c>
    </row>
    <row r="793" spans="1:13" x14ac:dyDescent="0.25">
      <c r="A793">
        <v>792</v>
      </c>
      <c r="B793">
        <v>51</v>
      </c>
      <c r="C793">
        <v>3</v>
      </c>
      <c r="D793" s="2">
        <v>42266.46366898148</v>
      </c>
      <c r="E793" t="s">
        <v>179</v>
      </c>
      <c r="F793">
        <v>300</v>
      </c>
      <c r="G793" s="3">
        <v>1</v>
      </c>
      <c r="H793">
        <v>1646</v>
      </c>
      <c r="I793" t="s">
        <v>181</v>
      </c>
      <c r="J793">
        <v>18</v>
      </c>
      <c r="K793">
        <v>20</v>
      </c>
      <c r="L793">
        <v>3</v>
      </c>
      <c r="M793">
        <v>1</v>
      </c>
    </row>
    <row r="794" spans="1:13" x14ac:dyDescent="0.25">
      <c r="A794">
        <v>793</v>
      </c>
      <c r="B794">
        <v>51</v>
      </c>
      <c r="C794">
        <v>16</v>
      </c>
      <c r="D794" s="2">
        <v>42268.069837962961</v>
      </c>
      <c r="E794" t="s">
        <v>179</v>
      </c>
      <c r="F794">
        <v>150</v>
      </c>
      <c r="G794" s="3">
        <v>2</v>
      </c>
      <c r="H794">
        <v>0</v>
      </c>
      <c r="I794" t="s">
        <v>182</v>
      </c>
      <c r="J794">
        <v>0</v>
      </c>
      <c r="K794">
        <v>0</v>
      </c>
      <c r="L794">
        <v>0</v>
      </c>
      <c r="M794">
        <v>0</v>
      </c>
    </row>
    <row r="795" spans="1:13" x14ac:dyDescent="0.25">
      <c r="A795">
        <v>794</v>
      </c>
      <c r="B795">
        <v>51</v>
      </c>
      <c r="C795">
        <v>22</v>
      </c>
      <c r="D795" s="2">
        <v>42269.224270833336</v>
      </c>
      <c r="E795" t="s">
        <v>179</v>
      </c>
      <c r="F795">
        <v>120</v>
      </c>
      <c r="G795" s="3">
        <v>3</v>
      </c>
      <c r="H795">
        <v>1644</v>
      </c>
      <c r="I795" t="s">
        <v>181</v>
      </c>
      <c r="J795">
        <v>19</v>
      </c>
      <c r="K795">
        <v>14</v>
      </c>
      <c r="L795">
        <v>2</v>
      </c>
      <c r="M795">
        <v>7</v>
      </c>
    </row>
    <row r="796" spans="1:13" x14ac:dyDescent="0.25">
      <c r="A796">
        <v>795</v>
      </c>
      <c r="B796">
        <v>51</v>
      </c>
      <c r="C796">
        <v>7</v>
      </c>
      <c r="D796" s="2">
        <v>42267.977789351855</v>
      </c>
      <c r="E796" t="s">
        <v>179</v>
      </c>
      <c r="F796">
        <v>180</v>
      </c>
      <c r="G796" s="3">
        <v>4</v>
      </c>
      <c r="H796">
        <v>0</v>
      </c>
      <c r="I796" t="s">
        <v>180</v>
      </c>
      <c r="J796">
        <v>0</v>
      </c>
      <c r="K796">
        <v>0</v>
      </c>
      <c r="L796">
        <v>0</v>
      </c>
      <c r="M796">
        <v>0</v>
      </c>
    </row>
    <row r="797" spans="1:13" x14ac:dyDescent="0.25">
      <c r="A797">
        <v>796</v>
      </c>
      <c r="B797">
        <v>51</v>
      </c>
      <c r="C797">
        <v>5</v>
      </c>
      <c r="D797" s="2">
        <v>42268.016817129632</v>
      </c>
      <c r="E797" t="s">
        <v>179</v>
      </c>
      <c r="F797">
        <v>0</v>
      </c>
      <c r="G797" s="3">
        <v>5</v>
      </c>
      <c r="H797">
        <v>0</v>
      </c>
      <c r="I797" t="s">
        <v>180</v>
      </c>
      <c r="J797">
        <v>0</v>
      </c>
      <c r="K797">
        <v>0</v>
      </c>
      <c r="L797">
        <v>0</v>
      </c>
      <c r="M797">
        <v>0</v>
      </c>
    </row>
    <row r="798" spans="1:13" x14ac:dyDescent="0.25">
      <c r="A798">
        <v>797</v>
      </c>
      <c r="B798">
        <v>51</v>
      </c>
      <c r="C798">
        <v>29</v>
      </c>
      <c r="D798" s="2">
        <v>42270.174247685187</v>
      </c>
      <c r="E798" t="s">
        <v>179</v>
      </c>
      <c r="F798">
        <v>180</v>
      </c>
      <c r="G798" s="3">
        <v>6</v>
      </c>
      <c r="H798">
        <v>0</v>
      </c>
      <c r="I798" t="s">
        <v>182</v>
      </c>
      <c r="J798">
        <v>0</v>
      </c>
      <c r="K798">
        <v>0</v>
      </c>
      <c r="L798">
        <v>0</v>
      </c>
      <c r="M798">
        <v>0</v>
      </c>
    </row>
    <row r="799" spans="1:13" x14ac:dyDescent="0.25">
      <c r="A799">
        <v>798</v>
      </c>
      <c r="B799">
        <v>51</v>
      </c>
      <c r="C799">
        <v>30</v>
      </c>
      <c r="D799" s="2">
        <v>42273.157013888886</v>
      </c>
      <c r="E799" t="s">
        <v>179</v>
      </c>
      <c r="F799">
        <v>270</v>
      </c>
      <c r="G799" s="3">
        <v>7</v>
      </c>
      <c r="H799">
        <v>1666</v>
      </c>
      <c r="I799" t="s">
        <v>181</v>
      </c>
      <c r="J799">
        <v>16</v>
      </c>
      <c r="K799">
        <v>19</v>
      </c>
      <c r="L799">
        <v>5</v>
      </c>
      <c r="M799">
        <v>2</v>
      </c>
    </row>
    <row r="800" spans="1:13" x14ac:dyDescent="0.25">
      <c r="A800">
        <v>799</v>
      </c>
      <c r="B800">
        <v>51</v>
      </c>
      <c r="C800">
        <v>12</v>
      </c>
      <c r="D800" s="2">
        <v>42267.015497685185</v>
      </c>
      <c r="E800" t="s">
        <v>179</v>
      </c>
      <c r="F800">
        <v>240</v>
      </c>
      <c r="G800" s="3">
        <v>8</v>
      </c>
      <c r="H800">
        <v>0</v>
      </c>
      <c r="I800" t="s">
        <v>182</v>
      </c>
      <c r="J800">
        <v>0</v>
      </c>
      <c r="K800">
        <v>0</v>
      </c>
      <c r="L800">
        <v>0</v>
      </c>
      <c r="M800">
        <v>0</v>
      </c>
    </row>
    <row r="801" spans="1:13" x14ac:dyDescent="0.25">
      <c r="A801">
        <v>800</v>
      </c>
      <c r="B801">
        <v>51</v>
      </c>
      <c r="C801">
        <v>27</v>
      </c>
      <c r="D801" s="2">
        <v>42272.704837962963</v>
      </c>
      <c r="E801" t="s">
        <v>179</v>
      </c>
      <c r="F801">
        <v>60</v>
      </c>
      <c r="G801" s="3">
        <v>9</v>
      </c>
      <c r="H801">
        <v>1835</v>
      </c>
      <c r="I801" t="s">
        <v>181</v>
      </c>
      <c r="J801">
        <v>4</v>
      </c>
      <c r="K801">
        <v>5</v>
      </c>
      <c r="L801">
        <v>17</v>
      </c>
      <c r="M801">
        <v>16</v>
      </c>
    </row>
    <row r="802" spans="1:13" x14ac:dyDescent="0.25">
      <c r="A802">
        <v>801</v>
      </c>
      <c r="B802">
        <v>51</v>
      </c>
      <c r="C802">
        <v>19</v>
      </c>
      <c r="D802" s="2">
        <v>42266.981134259258</v>
      </c>
      <c r="E802" t="s">
        <v>179</v>
      </c>
      <c r="F802">
        <v>60</v>
      </c>
      <c r="G802" s="3">
        <v>10</v>
      </c>
      <c r="H802">
        <v>1826</v>
      </c>
      <c r="I802" t="s">
        <v>181</v>
      </c>
      <c r="J802">
        <v>6</v>
      </c>
      <c r="K802">
        <v>6</v>
      </c>
      <c r="L802">
        <v>15</v>
      </c>
      <c r="M802">
        <v>15</v>
      </c>
    </row>
    <row r="803" spans="1:13" x14ac:dyDescent="0.25">
      <c r="A803">
        <v>802</v>
      </c>
      <c r="B803">
        <v>51</v>
      </c>
      <c r="C803">
        <v>20</v>
      </c>
      <c r="D803" s="2">
        <v>42271.26766203704</v>
      </c>
      <c r="E803" t="s">
        <v>179</v>
      </c>
      <c r="F803">
        <v>120</v>
      </c>
      <c r="G803" s="3">
        <v>11</v>
      </c>
      <c r="H803">
        <v>1639</v>
      </c>
      <c r="I803" t="s">
        <v>181</v>
      </c>
      <c r="J803">
        <v>20</v>
      </c>
      <c r="K803">
        <v>16</v>
      </c>
      <c r="L803">
        <v>1</v>
      </c>
      <c r="M803">
        <v>5</v>
      </c>
    </row>
    <row r="804" spans="1:13" x14ac:dyDescent="0.25">
      <c r="A804">
        <v>803</v>
      </c>
      <c r="B804">
        <v>51</v>
      </c>
      <c r="C804">
        <v>31</v>
      </c>
      <c r="D804" s="2">
        <v>42267.793773148151</v>
      </c>
      <c r="E804" t="s">
        <v>179</v>
      </c>
      <c r="F804">
        <v>90</v>
      </c>
      <c r="G804" s="3">
        <v>12</v>
      </c>
      <c r="H804">
        <v>1695</v>
      </c>
      <c r="I804" t="s">
        <v>181</v>
      </c>
      <c r="J804">
        <v>12</v>
      </c>
      <c r="K804">
        <v>11</v>
      </c>
      <c r="L804">
        <v>9</v>
      </c>
      <c r="M804">
        <v>10</v>
      </c>
    </row>
    <row r="805" spans="1:13" x14ac:dyDescent="0.25">
      <c r="A805">
        <v>804</v>
      </c>
      <c r="B805">
        <v>51</v>
      </c>
      <c r="C805">
        <v>2</v>
      </c>
      <c r="D805" s="2">
        <v>42273.080995370372</v>
      </c>
      <c r="E805" t="s">
        <v>179</v>
      </c>
      <c r="F805">
        <v>60</v>
      </c>
      <c r="G805" s="3">
        <v>13</v>
      </c>
      <c r="H805">
        <v>0</v>
      </c>
      <c r="I805" t="s">
        <v>180</v>
      </c>
      <c r="J805">
        <v>0</v>
      </c>
      <c r="K805">
        <v>0</v>
      </c>
      <c r="L805">
        <v>0</v>
      </c>
      <c r="M805">
        <v>0</v>
      </c>
    </row>
    <row r="806" spans="1:13" x14ac:dyDescent="0.25">
      <c r="A806">
        <v>805</v>
      </c>
      <c r="B806">
        <v>51</v>
      </c>
      <c r="C806">
        <v>15</v>
      </c>
      <c r="D806" s="2">
        <v>42272.265011574076</v>
      </c>
      <c r="E806" t="s">
        <v>179</v>
      </c>
      <c r="F806">
        <v>270</v>
      </c>
      <c r="G806" s="3">
        <v>14</v>
      </c>
      <c r="H806">
        <v>1680</v>
      </c>
      <c r="I806" t="s">
        <v>181</v>
      </c>
      <c r="J806">
        <v>15</v>
      </c>
      <c r="K806">
        <v>18</v>
      </c>
      <c r="L806">
        <v>6</v>
      </c>
      <c r="M806">
        <v>3</v>
      </c>
    </row>
    <row r="807" spans="1:13" x14ac:dyDescent="0.25">
      <c r="A807">
        <v>806</v>
      </c>
      <c r="B807">
        <v>51</v>
      </c>
      <c r="C807">
        <v>1</v>
      </c>
      <c r="D807" s="2">
        <v>42274.539513888885</v>
      </c>
      <c r="E807" t="s">
        <v>179</v>
      </c>
      <c r="F807">
        <v>120</v>
      </c>
      <c r="G807" s="3">
        <v>15</v>
      </c>
      <c r="H807">
        <v>1659</v>
      </c>
      <c r="I807" t="s">
        <v>181</v>
      </c>
      <c r="J807">
        <v>17</v>
      </c>
      <c r="K807">
        <v>12</v>
      </c>
      <c r="L807">
        <v>4</v>
      </c>
      <c r="M807">
        <v>9</v>
      </c>
    </row>
    <row r="808" spans="1:13" x14ac:dyDescent="0.25">
      <c r="A808">
        <v>807</v>
      </c>
      <c r="B808">
        <v>51</v>
      </c>
      <c r="C808">
        <v>23</v>
      </c>
      <c r="D808" s="2">
        <v>42268.718368055554</v>
      </c>
      <c r="E808" t="s">
        <v>179</v>
      </c>
      <c r="F808">
        <v>90</v>
      </c>
      <c r="G808" s="3">
        <v>16</v>
      </c>
      <c r="H808">
        <v>0</v>
      </c>
      <c r="I808" t="s">
        <v>182</v>
      </c>
      <c r="J808">
        <v>0</v>
      </c>
      <c r="K808">
        <v>0</v>
      </c>
      <c r="L808">
        <v>0</v>
      </c>
      <c r="M808">
        <v>0</v>
      </c>
    </row>
    <row r="809" spans="1:13" x14ac:dyDescent="0.25">
      <c r="A809">
        <v>808</v>
      </c>
      <c r="B809">
        <v>51</v>
      </c>
      <c r="C809">
        <v>24</v>
      </c>
      <c r="D809" s="2">
        <v>42266.499166666668</v>
      </c>
      <c r="E809" t="s">
        <v>179</v>
      </c>
      <c r="F809">
        <v>240</v>
      </c>
      <c r="G809" s="3">
        <v>17</v>
      </c>
      <c r="H809">
        <v>1760</v>
      </c>
      <c r="I809" t="s">
        <v>181</v>
      </c>
      <c r="J809">
        <v>10</v>
      </c>
      <c r="K809">
        <v>15</v>
      </c>
      <c r="L809">
        <v>11</v>
      </c>
      <c r="M809">
        <v>6</v>
      </c>
    </row>
    <row r="810" spans="1:13" x14ac:dyDescent="0.25">
      <c r="A810">
        <v>809</v>
      </c>
      <c r="B810">
        <v>51</v>
      </c>
      <c r="C810">
        <v>9</v>
      </c>
      <c r="D810" s="2">
        <v>42274.789155092592</v>
      </c>
      <c r="E810" t="s">
        <v>179</v>
      </c>
      <c r="F810">
        <v>60</v>
      </c>
      <c r="G810" s="3">
        <v>18</v>
      </c>
      <c r="H810">
        <v>1746</v>
      </c>
      <c r="I810" t="s">
        <v>181</v>
      </c>
      <c r="J810">
        <v>11</v>
      </c>
      <c r="K810">
        <v>8</v>
      </c>
      <c r="L810">
        <v>10</v>
      </c>
      <c r="M810">
        <v>13</v>
      </c>
    </row>
    <row r="811" spans="1:13" x14ac:dyDescent="0.25">
      <c r="A811">
        <v>810</v>
      </c>
      <c r="B811">
        <v>51</v>
      </c>
      <c r="C811">
        <v>17</v>
      </c>
      <c r="D811" s="2">
        <v>42274.006909722222</v>
      </c>
      <c r="E811" t="s">
        <v>179</v>
      </c>
      <c r="F811">
        <v>150</v>
      </c>
      <c r="G811" s="3">
        <v>19</v>
      </c>
      <c r="H811">
        <v>1796</v>
      </c>
      <c r="I811" t="s">
        <v>181</v>
      </c>
      <c r="J811">
        <v>8</v>
      </c>
      <c r="K811">
        <v>10</v>
      </c>
      <c r="L811">
        <v>13</v>
      </c>
      <c r="M811">
        <v>11</v>
      </c>
    </row>
    <row r="812" spans="1:13" x14ac:dyDescent="0.25">
      <c r="A812">
        <v>811</v>
      </c>
      <c r="B812">
        <v>51</v>
      </c>
      <c r="C812">
        <v>13</v>
      </c>
      <c r="D812" s="2">
        <v>42273.266342592593</v>
      </c>
      <c r="E812" t="s">
        <v>179</v>
      </c>
      <c r="F812">
        <v>30</v>
      </c>
      <c r="G812" s="3">
        <v>20</v>
      </c>
      <c r="H812">
        <v>0</v>
      </c>
      <c r="I812" t="s">
        <v>180</v>
      </c>
      <c r="J812">
        <v>0</v>
      </c>
      <c r="K812">
        <v>0</v>
      </c>
      <c r="L812">
        <v>0</v>
      </c>
      <c r="M812">
        <v>0</v>
      </c>
    </row>
    <row r="813" spans="1:13" x14ac:dyDescent="0.25">
      <c r="A813">
        <v>812</v>
      </c>
      <c r="B813">
        <v>51</v>
      </c>
      <c r="C813">
        <v>8</v>
      </c>
      <c r="D813" s="2">
        <v>42269.655405092592</v>
      </c>
      <c r="E813" t="s">
        <v>179</v>
      </c>
      <c r="F813">
        <v>180</v>
      </c>
      <c r="G813" s="3">
        <v>21</v>
      </c>
      <c r="H813">
        <v>1682</v>
      </c>
      <c r="I813" t="s">
        <v>181</v>
      </c>
      <c r="J813">
        <v>14</v>
      </c>
      <c r="K813">
        <v>17</v>
      </c>
      <c r="L813">
        <v>7</v>
      </c>
      <c r="M813">
        <v>4</v>
      </c>
    </row>
    <row r="814" spans="1:13" x14ac:dyDescent="0.25">
      <c r="A814">
        <v>813</v>
      </c>
      <c r="B814">
        <v>51</v>
      </c>
      <c r="C814">
        <v>28</v>
      </c>
      <c r="D814" s="2">
        <v>42274.60974537037</v>
      </c>
      <c r="E814" t="s">
        <v>179</v>
      </c>
      <c r="F814">
        <v>150</v>
      </c>
      <c r="G814" s="3">
        <v>22</v>
      </c>
      <c r="H814">
        <v>1834</v>
      </c>
      <c r="I814" t="s">
        <v>181</v>
      </c>
      <c r="J814">
        <v>5</v>
      </c>
      <c r="K814">
        <v>9</v>
      </c>
      <c r="L814">
        <v>16</v>
      </c>
      <c r="M814">
        <v>12</v>
      </c>
    </row>
    <row r="815" spans="1:13" x14ac:dyDescent="0.25">
      <c r="A815">
        <v>814</v>
      </c>
      <c r="B815">
        <v>51</v>
      </c>
      <c r="C815">
        <v>4</v>
      </c>
      <c r="D815" s="2">
        <v>42270.803668981483</v>
      </c>
      <c r="E815" t="s">
        <v>179</v>
      </c>
      <c r="F815">
        <v>270</v>
      </c>
      <c r="G815" s="3">
        <v>23</v>
      </c>
      <c r="H815">
        <v>1807</v>
      </c>
      <c r="I815" t="s">
        <v>181</v>
      </c>
      <c r="J815">
        <v>7</v>
      </c>
      <c r="K815">
        <v>13</v>
      </c>
      <c r="L815">
        <v>14</v>
      </c>
      <c r="M815">
        <v>8</v>
      </c>
    </row>
    <row r="816" spans="1:13" x14ac:dyDescent="0.25">
      <c r="A816">
        <v>815</v>
      </c>
      <c r="B816">
        <v>51</v>
      </c>
      <c r="C816">
        <v>25</v>
      </c>
      <c r="D816" s="2">
        <v>42267.717048611114</v>
      </c>
      <c r="E816" t="s">
        <v>179</v>
      </c>
      <c r="F816">
        <v>0</v>
      </c>
      <c r="G816" s="3">
        <v>24</v>
      </c>
      <c r="H816">
        <v>1780</v>
      </c>
      <c r="I816" t="s">
        <v>181</v>
      </c>
      <c r="J816">
        <v>9</v>
      </c>
      <c r="K816">
        <v>4</v>
      </c>
      <c r="L816">
        <v>12</v>
      </c>
      <c r="M816">
        <v>17</v>
      </c>
    </row>
    <row r="817" spans="1:13" x14ac:dyDescent="0.25">
      <c r="A817">
        <v>816</v>
      </c>
      <c r="B817">
        <v>51</v>
      </c>
      <c r="C817">
        <v>21</v>
      </c>
      <c r="D817" s="2">
        <v>42266.672083333331</v>
      </c>
      <c r="E817" t="s">
        <v>179</v>
      </c>
      <c r="F817">
        <v>0</v>
      </c>
      <c r="G817" s="3">
        <v>25</v>
      </c>
      <c r="H817">
        <v>1688</v>
      </c>
      <c r="I817" t="s">
        <v>181</v>
      </c>
      <c r="J817">
        <v>13</v>
      </c>
      <c r="K817">
        <v>7</v>
      </c>
      <c r="L817">
        <v>8</v>
      </c>
      <c r="M817">
        <v>14</v>
      </c>
    </row>
    <row r="818" spans="1:13" x14ac:dyDescent="0.25">
      <c r="A818">
        <v>817</v>
      </c>
      <c r="B818">
        <v>52</v>
      </c>
      <c r="C818">
        <v>18</v>
      </c>
      <c r="D818" s="2">
        <v>42352.858749999999</v>
      </c>
      <c r="E818" t="s">
        <v>179</v>
      </c>
      <c r="F818">
        <v>30</v>
      </c>
      <c r="G818" s="3">
        <v>1</v>
      </c>
      <c r="H818">
        <v>0</v>
      </c>
      <c r="I818" t="s">
        <v>180</v>
      </c>
      <c r="J818">
        <v>0</v>
      </c>
      <c r="K818">
        <v>0</v>
      </c>
      <c r="L818">
        <v>0</v>
      </c>
      <c r="M818">
        <v>0</v>
      </c>
    </row>
    <row r="819" spans="1:13" x14ac:dyDescent="0.25">
      <c r="A819">
        <v>818</v>
      </c>
      <c r="B819">
        <v>52</v>
      </c>
      <c r="C819">
        <v>4</v>
      </c>
      <c r="D819" s="2">
        <v>42280.624710648146</v>
      </c>
      <c r="E819" t="s">
        <v>179</v>
      </c>
      <c r="F819">
        <v>0</v>
      </c>
      <c r="G819" s="3">
        <v>2</v>
      </c>
      <c r="H819">
        <v>0</v>
      </c>
      <c r="I819" t="s">
        <v>182</v>
      </c>
      <c r="J819">
        <v>0</v>
      </c>
      <c r="K819">
        <v>0</v>
      </c>
      <c r="L819">
        <v>0</v>
      </c>
      <c r="M819">
        <v>0</v>
      </c>
    </row>
    <row r="820" spans="1:13" x14ac:dyDescent="0.25">
      <c r="A820">
        <v>819</v>
      </c>
      <c r="B820">
        <v>52</v>
      </c>
      <c r="C820">
        <v>7</v>
      </c>
      <c r="D820" s="2">
        <v>42311.343460648146</v>
      </c>
      <c r="E820" t="s">
        <v>179</v>
      </c>
      <c r="F820">
        <v>150</v>
      </c>
      <c r="G820" s="3">
        <v>3</v>
      </c>
      <c r="H820">
        <v>0</v>
      </c>
      <c r="I820" t="s">
        <v>182</v>
      </c>
      <c r="J820">
        <v>0</v>
      </c>
      <c r="K820">
        <v>0</v>
      </c>
      <c r="L820">
        <v>0</v>
      </c>
      <c r="M820">
        <v>0</v>
      </c>
    </row>
    <row r="821" spans="1:13" x14ac:dyDescent="0.25">
      <c r="A821">
        <v>820</v>
      </c>
      <c r="B821">
        <v>52</v>
      </c>
      <c r="C821">
        <v>24</v>
      </c>
      <c r="D821" s="2">
        <v>42352.99591435185</v>
      </c>
      <c r="E821" t="s">
        <v>179</v>
      </c>
      <c r="F821">
        <v>120</v>
      </c>
      <c r="G821" s="3">
        <v>4</v>
      </c>
      <c r="H821">
        <v>307</v>
      </c>
      <c r="I821" t="s">
        <v>181</v>
      </c>
      <c r="J821">
        <v>18</v>
      </c>
      <c r="K821">
        <v>19</v>
      </c>
      <c r="L821">
        <v>3</v>
      </c>
      <c r="M821">
        <v>2</v>
      </c>
    </row>
    <row r="822" spans="1:13" x14ac:dyDescent="0.25">
      <c r="A822">
        <v>821</v>
      </c>
      <c r="B822">
        <v>52</v>
      </c>
      <c r="C822">
        <v>14</v>
      </c>
      <c r="D822" s="2">
        <v>42282.549826388888</v>
      </c>
      <c r="E822" t="s">
        <v>179</v>
      </c>
      <c r="F822">
        <v>0</v>
      </c>
      <c r="G822" s="3">
        <v>5</v>
      </c>
      <c r="H822">
        <v>277</v>
      </c>
      <c r="I822" t="s">
        <v>181</v>
      </c>
      <c r="J822">
        <v>20</v>
      </c>
      <c r="K822">
        <v>18</v>
      </c>
      <c r="L822">
        <v>1</v>
      </c>
      <c r="M822">
        <v>3</v>
      </c>
    </row>
    <row r="823" spans="1:13" x14ac:dyDescent="0.25">
      <c r="A823">
        <v>822</v>
      </c>
      <c r="B823">
        <v>52</v>
      </c>
      <c r="C823">
        <v>8</v>
      </c>
      <c r="D823" s="2">
        <v>42303.155995370369</v>
      </c>
      <c r="E823" t="s">
        <v>179</v>
      </c>
      <c r="F823">
        <v>180</v>
      </c>
      <c r="G823" s="3">
        <v>6</v>
      </c>
      <c r="H823">
        <v>287</v>
      </c>
      <c r="I823" t="s">
        <v>181</v>
      </c>
      <c r="J823">
        <v>19</v>
      </c>
      <c r="K823">
        <v>20</v>
      </c>
      <c r="L823">
        <v>2</v>
      </c>
      <c r="M823">
        <v>1</v>
      </c>
    </row>
    <row r="824" spans="1:13" x14ac:dyDescent="0.25">
      <c r="A824">
        <v>823</v>
      </c>
      <c r="B824">
        <v>53</v>
      </c>
      <c r="C824">
        <v>16</v>
      </c>
      <c r="D824" s="2">
        <v>42378.300995370373</v>
      </c>
      <c r="E824" t="s">
        <v>179</v>
      </c>
      <c r="F824">
        <v>150</v>
      </c>
      <c r="G824" s="3">
        <v>1</v>
      </c>
      <c r="H824">
        <v>1595</v>
      </c>
      <c r="I824" t="s">
        <v>181</v>
      </c>
      <c r="J824">
        <v>17</v>
      </c>
      <c r="K824">
        <v>12</v>
      </c>
      <c r="L824">
        <v>4</v>
      </c>
      <c r="M824">
        <v>9</v>
      </c>
    </row>
    <row r="825" spans="1:13" x14ac:dyDescent="0.25">
      <c r="A825">
        <v>824</v>
      </c>
      <c r="B825">
        <v>53</v>
      </c>
      <c r="C825">
        <v>18</v>
      </c>
      <c r="D825" s="2">
        <v>42396.604212962964</v>
      </c>
      <c r="E825" t="s">
        <v>179</v>
      </c>
      <c r="F825">
        <v>90</v>
      </c>
      <c r="G825" s="3">
        <v>2</v>
      </c>
      <c r="H825">
        <v>1655</v>
      </c>
      <c r="I825" t="s">
        <v>181</v>
      </c>
      <c r="J825">
        <v>11</v>
      </c>
      <c r="K825">
        <v>7</v>
      </c>
      <c r="L825">
        <v>10</v>
      </c>
      <c r="M825">
        <v>14</v>
      </c>
    </row>
    <row r="826" spans="1:13" x14ac:dyDescent="0.25">
      <c r="A826">
        <v>825</v>
      </c>
      <c r="B826">
        <v>53</v>
      </c>
      <c r="C826">
        <v>2</v>
      </c>
      <c r="D826" s="2">
        <v>42393.199965277781</v>
      </c>
      <c r="E826" t="s">
        <v>179</v>
      </c>
      <c r="F826">
        <v>300</v>
      </c>
      <c r="G826" s="3">
        <v>3</v>
      </c>
      <c r="H826">
        <v>1714</v>
      </c>
      <c r="I826" t="s">
        <v>181</v>
      </c>
      <c r="J826">
        <v>5</v>
      </c>
      <c r="K826">
        <v>15</v>
      </c>
      <c r="L826">
        <v>16</v>
      </c>
      <c r="M826">
        <v>6</v>
      </c>
    </row>
    <row r="827" spans="1:13" x14ac:dyDescent="0.25">
      <c r="A827">
        <v>826</v>
      </c>
      <c r="B827">
        <v>53</v>
      </c>
      <c r="C827">
        <v>7</v>
      </c>
      <c r="D827" s="2">
        <v>42412.721921296295</v>
      </c>
      <c r="E827" t="s">
        <v>179</v>
      </c>
      <c r="F827">
        <v>150</v>
      </c>
      <c r="G827" s="3">
        <v>4</v>
      </c>
      <c r="H827">
        <v>1542</v>
      </c>
      <c r="I827" t="s">
        <v>181</v>
      </c>
      <c r="J827">
        <v>20</v>
      </c>
      <c r="K827">
        <v>18</v>
      </c>
      <c r="L827">
        <v>1</v>
      </c>
      <c r="M827">
        <v>3</v>
      </c>
    </row>
    <row r="828" spans="1:13" x14ac:dyDescent="0.25">
      <c r="A828">
        <v>827</v>
      </c>
      <c r="B828">
        <v>53</v>
      </c>
      <c r="C828">
        <v>19</v>
      </c>
      <c r="D828" s="2">
        <v>42430.316990740743</v>
      </c>
      <c r="E828" t="s">
        <v>179</v>
      </c>
      <c r="F828">
        <v>30</v>
      </c>
      <c r="G828" s="3">
        <v>5</v>
      </c>
      <c r="H828">
        <v>1601</v>
      </c>
      <c r="I828" t="s">
        <v>181</v>
      </c>
      <c r="J828">
        <v>16</v>
      </c>
      <c r="K828">
        <v>6</v>
      </c>
      <c r="L828">
        <v>5</v>
      </c>
      <c r="M828">
        <v>15</v>
      </c>
    </row>
    <row r="829" spans="1:13" x14ac:dyDescent="0.25">
      <c r="A829">
        <v>828</v>
      </c>
      <c r="B829">
        <v>53</v>
      </c>
      <c r="C829">
        <v>14</v>
      </c>
      <c r="D829" s="2">
        <v>42427.881493055553</v>
      </c>
      <c r="E829" t="s">
        <v>179</v>
      </c>
      <c r="F829">
        <v>240</v>
      </c>
      <c r="G829" s="3">
        <v>6</v>
      </c>
      <c r="H829">
        <v>1661</v>
      </c>
      <c r="I829" t="s">
        <v>181</v>
      </c>
      <c r="J829">
        <v>10</v>
      </c>
      <c r="K829">
        <v>13</v>
      </c>
      <c r="L829">
        <v>11</v>
      </c>
      <c r="M829">
        <v>8</v>
      </c>
    </row>
    <row r="830" spans="1:13" x14ac:dyDescent="0.25">
      <c r="A830">
        <v>829</v>
      </c>
      <c r="B830">
        <v>53</v>
      </c>
      <c r="C830">
        <v>10</v>
      </c>
      <c r="D830" s="2">
        <v>42366.477071759262</v>
      </c>
      <c r="E830" t="s">
        <v>179</v>
      </c>
      <c r="F830">
        <v>180</v>
      </c>
      <c r="G830" s="3">
        <v>7</v>
      </c>
      <c r="H830">
        <v>0</v>
      </c>
      <c r="I830" t="s">
        <v>182</v>
      </c>
      <c r="J830">
        <v>0</v>
      </c>
      <c r="K830">
        <v>0</v>
      </c>
      <c r="L830">
        <v>0</v>
      </c>
      <c r="M830">
        <v>0</v>
      </c>
    </row>
    <row r="831" spans="1:13" x14ac:dyDescent="0.25">
      <c r="A831">
        <v>830</v>
      </c>
      <c r="B831">
        <v>53</v>
      </c>
      <c r="C831">
        <v>29</v>
      </c>
      <c r="D831" s="2">
        <v>42424.282627314817</v>
      </c>
      <c r="E831" t="s">
        <v>179</v>
      </c>
      <c r="F831">
        <v>270</v>
      </c>
      <c r="G831" s="3">
        <v>8</v>
      </c>
      <c r="H831">
        <v>1682</v>
      </c>
      <c r="I831" t="s">
        <v>181</v>
      </c>
      <c r="J831">
        <v>7</v>
      </c>
      <c r="K831">
        <v>16</v>
      </c>
      <c r="L831">
        <v>14</v>
      </c>
      <c r="M831">
        <v>5</v>
      </c>
    </row>
    <row r="832" spans="1:13" x14ac:dyDescent="0.25">
      <c r="A832">
        <v>831</v>
      </c>
      <c r="B832">
        <v>53</v>
      </c>
      <c r="C832">
        <v>23</v>
      </c>
      <c r="D832" s="2">
        <v>42366.472407407404</v>
      </c>
      <c r="E832" t="s">
        <v>179</v>
      </c>
      <c r="F832">
        <v>120</v>
      </c>
      <c r="G832" s="3">
        <v>9</v>
      </c>
      <c r="H832">
        <v>1662</v>
      </c>
      <c r="I832" t="s">
        <v>181</v>
      </c>
      <c r="J832">
        <v>9</v>
      </c>
      <c r="K832">
        <v>10</v>
      </c>
      <c r="L832">
        <v>12</v>
      </c>
      <c r="M832">
        <v>11</v>
      </c>
    </row>
    <row r="833" spans="1:13" x14ac:dyDescent="0.25">
      <c r="A833">
        <v>832</v>
      </c>
      <c r="B833">
        <v>53</v>
      </c>
      <c r="C833">
        <v>22</v>
      </c>
      <c r="D833" s="2">
        <v>42386.497094907405</v>
      </c>
      <c r="E833" t="s">
        <v>179</v>
      </c>
      <c r="F833">
        <v>90</v>
      </c>
      <c r="G833" s="3">
        <v>10</v>
      </c>
      <c r="H833">
        <v>1642</v>
      </c>
      <c r="I833" t="s">
        <v>181</v>
      </c>
      <c r="J833">
        <v>13</v>
      </c>
      <c r="K833">
        <v>9</v>
      </c>
      <c r="L833">
        <v>8</v>
      </c>
      <c r="M833">
        <v>12</v>
      </c>
    </row>
    <row r="834" spans="1:13" x14ac:dyDescent="0.25">
      <c r="A834">
        <v>833</v>
      </c>
      <c r="B834">
        <v>53</v>
      </c>
      <c r="C834">
        <v>31</v>
      </c>
      <c r="D834" s="2">
        <v>42406.686874999999</v>
      </c>
      <c r="E834" t="s">
        <v>179</v>
      </c>
      <c r="F834">
        <v>60</v>
      </c>
      <c r="G834" s="3">
        <v>11</v>
      </c>
      <c r="H834">
        <v>1623</v>
      </c>
      <c r="I834" t="s">
        <v>181</v>
      </c>
      <c r="J834">
        <v>14</v>
      </c>
      <c r="K834">
        <v>8</v>
      </c>
      <c r="L834">
        <v>7</v>
      </c>
      <c r="M834">
        <v>13</v>
      </c>
    </row>
    <row r="835" spans="1:13" x14ac:dyDescent="0.25">
      <c r="A835">
        <v>834</v>
      </c>
      <c r="B835">
        <v>53</v>
      </c>
      <c r="C835">
        <v>25</v>
      </c>
      <c r="D835" s="2">
        <v>42426.919189814813</v>
      </c>
      <c r="E835" t="s">
        <v>179</v>
      </c>
      <c r="F835">
        <v>270</v>
      </c>
      <c r="G835" s="3">
        <v>12</v>
      </c>
      <c r="H835">
        <v>1603</v>
      </c>
      <c r="I835" t="s">
        <v>181</v>
      </c>
      <c r="J835">
        <v>15</v>
      </c>
      <c r="K835">
        <v>20</v>
      </c>
      <c r="L835">
        <v>6</v>
      </c>
      <c r="M835">
        <v>1</v>
      </c>
    </row>
    <row r="836" spans="1:13" x14ac:dyDescent="0.25">
      <c r="A836">
        <v>835</v>
      </c>
      <c r="B836">
        <v>53</v>
      </c>
      <c r="C836">
        <v>1</v>
      </c>
      <c r="D836" s="2">
        <v>42389.152025462965</v>
      </c>
      <c r="E836" t="s">
        <v>179</v>
      </c>
      <c r="F836">
        <v>240</v>
      </c>
      <c r="G836" s="3">
        <v>13</v>
      </c>
      <c r="H836">
        <v>1583</v>
      </c>
      <c r="I836" t="s">
        <v>181</v>
      </c>
      <c r="J836">
        <v>19</v>
      </c>
      <c r="K836">
        <v>19</v>
      </c>
      <c r="L836">
        <v>2</v>
      </c>
      <c r="M836">
        <v>2</v>
      </c>
    </row>
    <row r="837" spans="1:13" x14ac:dyDescent="0.25">
      <c r="A837">
        <v>836</v>
      </c>
      <c r="B837">
        <v>53</v>
      </c>
      <c r="C837">
        <v>26</v>
      </c>
      <c r="D837" s="2">
        <v>42409.091990740744</v>
      </c>
      <c r="E837" t="s">
        <v>179</v>
      </c>
      <c r="F837">
        <v>120</v>
      </c>
      <c r="G837" s="3">
        <v>14</v>
      </c>
      <c r="H837">
        <v>1734</v>
      </c>
      <c r="I837" t="s">
        <v>181</v>
      </c>
      <c r="J837">
        <v>3</v>
      </c>
      <c r="K837">
        <v>5</v>
      </c>
      <c r="L837">
        <v>18</v>
      </c>
      <c r="M837">
        <v>16</v>
      </c>
    </row>
    <row r="838" spans="1:13" x14ac:dyDescent="0.25">
      <c r="A838">
        <v>837</v>
      </c>
      <c r="B838">
        <v>53</v>
      </c>
      <c r="C838">
        <v>6</v>
      </c>
      <c r="D838" s="2">
        <v>42429.355381944442</v>
      </c>
      <c r="E838" t="s">
        <v>179</v>
      </c>
      <c r="F838">
        <v>90</v>
      </c>
      <c r="G838" s="3">
        <v>15</v>
      </c>
      <c r="H838">
        <v>1714</v>
      </c>
      <c r="I838" t="s">
        <v>181</v>
      </c>
      <c r="J838">
        <v>5</v>
      </c>
      <c r="K838">
        <v>4</v>
      </c>
      <c r="L838">
        <v>16</v>
      </c>
      <c r="M838">
        <v>17</v>
      </c>
    </row>
    <row r="839" spans="1:13" x14ac:dyDescent="0.25">
      <c r="A839">
        <v>838</v>
      </c>
      <c r="B839">
        <v>53</v>
      </c>
      <c r="C839">
        <v>28</v>
      </c>
      <c r="D839" s="2">
        <v>42370.587013888886</v>
      </c>
      <c r="E839" t="s">
        <v>179</v>
      </c>
      <c r="F839">
        <v>30</v>
      </c>
      <c r="G839" s="3">
        <v>16</v>
      </c>
      <c r="H839">
        <v>1694</v>
      </c>
      <c r="I839" t="s">
        <v>181</v>
      </c>
      <c r="J839">
        <v>6</v>
      </c>
      <c r="K839">
        <v>3</v>
      </c>
      <c r="L839">
        <v>15</v>
      </c>
      <c r="M839">
        <v>18</v>
      </c>
    </row>
    <row r="840" spans="1:13" x14ac:dyDescent="0.25">
      <c r="A840">
        <v>839</v>
      </c>
      <c r="B840">
        <v>53</v>
      </c>
      <c r="C840">
        <v>8</v>
      </c>
      <c r="D840" s="2">
        <v>42391.569155092591</v>
      </c>
      <c r="E840" t="s">
        <v>179</v>
      </c>
      <c r="F840">
        <v>270</v>
      </c>
      <c r="G840" s="3">
        <v>17</v>
      </c>
      <c r="H840">
        <v>1674</v>
      </c>
      <c r="I840" t="s">
        <v>181</v>
      </c>
      <c r="J840">
        <v>8</v>
      </c>
      <c r="K840">
        <v>17</v>
      </c>
      <c r="L840">
        <v>13</v>
      </c>
      <c r="M840">
        <v>4</v>
      </c>
    </row>
    <row r="841" spans="1:13" x14ac:dyDescent="0.25">
      <c r="A841">
        <v>840</v>
      </c>
      <c r="B841">
        <v>53</v>
      </c>
      <c r="C841">
        <v>9</v>
      </c>
      <c r="D841" s="2">
        <v>42411.759814814817</v>
      </c>
      <c r="E841" t="s">
        <v>179</v>
      </c>
      <c r="F841">
        <v>240</v>
      </c>
      <c r="G841" s="3">
        <v>18</v>
      </c>
      <c r="H841">
        <v>1654</v>
      </c>
      <c r="I841" t="s">
        <v>181</v>
      </c>
      <c r="J841">
        <v>12</v>
      </c>
      <c r="K841">
        <v>15</v>
      </c>
      <c r="L841">
        <v>9</v>
      </c>
      <c r="M841">
        <v>6</v>
      </c>
    </row>
    <row r="842" spans="1:13" x14ac:dyDescent="0.25">
      <c r="A842">
        <v>841</v>
      </c>
      <c r="B842">
        <v>53</v>
      </c>
      <c r="C842">
        <v>3</v>
      </c>
      <c r="D842" s="2">
        <v>42431.033622685187</v>
      </c>
      <c r="E842" t="s">
        <v>179</v>
      </c>
      <c r="F842">
        <v>90</v>
      </c>
      <c r="G842" s="3">
        <v>19</v>
      </c>
      <c r="H842">
        <v>0</v>
      </c>
      <c r="I842" t="s">
        <v>180</v>
      </c>
      <c r="J842">
        <v>0</v>
      </c>
      <c r="K842">
        <v>0</v>
      </c>
      <c r="L842">
        <v>0</v>
      </c>
      <c r="M842">
        <v>0</v>
      </c>
    </row>
    <row r="843" spans="1:13" x14ac:dyDescent="0.25">
      <c r="A843">
        <v>842</v>
      </c>
      <c r="B843">
        <v>53</v>
      </c>
      <c r="C843">
        <v>15</v>
      </c>
      <c r="D843" s="2">
        <v>42388.379328703704</v>
      </c>
      <c r="E843" t="s">
        <v>179</v>
      </c>
      <c r="F843">
        <v>90</v>
      </c>
      <c r="G843" s="3">
        <v>20</v>
      </c>
      <c r="H843">
        <v>1588</v>
      </c>
      <c r="I843" t="s">
        <v>181</v>
      </c>
      <c r="J843">
        <v>18</v>
      </c>
      <c r="K843">
        <v>11</v>
      </c>
      <c r="L843">
        <v>3</v>
      </c>
      <c r="M843">
        <v>10</v>
      </c>
    </row>
    <row r="844" spans="1:13" x14ac:dyDescent="0.25">
      <c r="A844">
        <v>843</v>
      </c>
      <c r="B844">
        <v>54</v>
      </c>
      <c r="C844">
        <v>28</v>
      </c>
      <c r="D844" s="2">
        <v>42442.435150462959</v>
      </c>
      <c r="E844" t="s">
        <v>179</v>
      </c>
      <c r="F844">
        <v>0</v>
      </c>
      <c r="G844" s="3">
        <v>1</v>
      </c>
      <c r="H844">
        <v>1856</v>
      </c>
      <c r="I844" t="s">
        <v>181</v>
      </c>
      <c r="J844">
        <v>3</v>
      </c>
      <c r="K844">
        <v>0</v>
      </c>
      <c r="L844">
        <v>18</v>
      </c>
      <c r="M844">
        <v>24</v>
      </c>
    </row>
    <row r="845" spans="1:13" x14ac:dyDescent="0.25">
      <c r="A845">
        <v>844</v>
      </c>
      <c r="B845">
        <v>54</v>
      </c>
      <c r="C845">
        <v>4</v>
      </c>
      <c r="D845" s="2">
        <v>42443.36309027778</v>
      </c>
      <c r="E845" t="s">
        <v>179</v>
      </c>
      <c r="F845">
        <v>180</v>
      </c>
      <c r="G845" s="3">
        <v>2</v>
      </c>
      <c r="H845">
        <v>1753</v>
      </c>
      <c r="I845" t="s">
        <v>181</v>
      </c>
      <c r="J845">
        <v>15</v>
      </c>
      <c r="K845">
        <v>16</v>
      </c>
      <c r="L845">
        <v>6</v>
      </c>
      <c r="M845">
        <v>5</v>
      </c>
    </row>
    <row r="846" spans="1:13" x14ac:dyDescent="0.25">
      <c r="A846">
        <v>845</v>
      </c>
      <c r="B846">
        <v>54</v>
      </c>
      <c r="C846">
        <v>8</v>
      </c>
      <c r="D846" s="2">
        <v>42443.248483796298</v>
      </c>
      <c r="E846" t="s">
        <v>179</v>
      </c>
      <c r="F846">
        <v>300</v>
      </c>
      <c r="G846" s="3">
        <v>3</v>
      </c>
      <c r="H846">
        <v>1907</v>
      </c>
      <c r="I846" t="s">
        <v>181</v>
      </c>
      <c r="J846">
        <v>0</v>
      </c>
      <c r="K846">
        <v>14</v>
      </c>
      <c r="L846">
        <v>22</v>
      </c>
      <c r="M846">
        <v>7</v>
      </c>
    </row>
    <row r="847" spans="1:13" x14ac:dyDescent="0.25">
      <c r="A847">
        <v>846</v>
      </c>
      <c r="B847">
        <v>54</v>
      </c>
      <c r="C847">
        <v>13</v>
      </c>
      <c r="D847" s="2">
        <v>42442.133368055554</v>
      </c>
      <c r="E847" t="s">
        <v>179</v>
      </c>
      <c r="F847">
        <v>150</v>
      </c>
      <c r="G847" s="3">
        <v>4</v>
      </c>
      <c r="H847">
        <v>0</v>
      </c>
      <c r="I847" t="s">
        <v>182</v>
      </c>
      <c r="J847">
        <v>0</v>
      </c>
      <c r="K847">
        <v>0</v>
      </c>
      <c r="L847">
        <v>0</v>
      </c>
      <c r="M847">
        <v>0</v>
      </c>
    </row>
    <row r="848" spans="1:13" x14ac:dyDescent="0.25">
      <c r="A848">
        <v>847</v>
      </c>
      <c r="B848">
        <v>54</v>
      </c>
      <c r="C848">
        <v>7</v>
      </c>
      <c r="D848" s="2">
        <v>42445.294768518521</v>
      </c>
      <c r="E848" t="s">
        <v>179</v>
      </c>
      <c r="F848">
        <v>60</v>
      </c>
      <c r="G848" s="3">
        <v>5</v>
      </c>
      <c r="H848">
        <v>1853</v>
      </c>
      <c r="I848" t="s">
        <v>181</v>
      </c>
      <c r="J848">
        <v>4</v>
      </c>
      <c r="K848">
        <v>0</v>
      </c>
      <c r="L848">
        <v>17</v>
      </c>
      <c r="M848">
        <v>22</v>
      </c>
    </row>
    <row r="849" spans="1:13" x14ac:dyDescent="0.25">
      <c r="A849">
        <v>848</v>
      </c>
      <c r="B849">
        <v>54</v>
      </c>
      <c r="C849">
        <v>16</v>
      </c>
      <c r="D849" s="2">
        <v>42443.249803240738</v>
      </c>
      <c r="E849" t="s">
        <v>179</v>
      </c>
      <c r="F849">
        <v>60</v>
      </c>
      <c r="G849" s="3">
        <v>6</v>
      </c>
      <c r="H849">
        <v>1757</v>
      </c>
      <c r="I849" t="s">
        <v>181</v>
      </c>
      <c r="J849">
        <v>13</v>
      </c>
      <c r="K849">
        <v>8</v>
      </c>
      <c r="L849">
        <v>8</v>
      </c>
      <c r="M849">
        <v>13</v>
      </c>
    </row>
    <row r="850" spans="1:13" x14ac:dyDescent="0.25">
      <c r="A850">
        <v>849</v>
      </c>
      <c r="B850">
        <v>54</v>
      </c>
      <c r="C850">
        <v>12</v>
      </c>
      <c r="D850" s="2">
        <v>42448.20484953704</v>
      </c>
      <c r="E850" t="s">
        <v>179</v>
      </c>
      <c r="F850">
        <v>120</v>
      </c>
      <c r="G850" s="3">
        <v>7</v>
      </c>
      <c r="H850">
        <v>1728</v>
      </c>
      <c r="I850" t="s">
        <v>181</v>
      </c>
      <c r="J850">
        <v>18</v>
      </c>
      <c r="K850">
        <v>13</v>
      </c>
      <c r="L850">
        <v>3</v>
      </c>
      <c r="M850">
        <v>8</v>
      </c>
    </row>
    <row r="851" spans="1:13" x14ac:dyDescent="0.25">
      <c r="A851">
        <v>850</v>
      </c>
      <c r="B851">
        <v>54</v>
      </c>
      <c r="C851">
        <v>1</v>
      </c>
      <c r="D851" s="2">
        <v>42445.409189814818</v>
      </c>
      <c r="E851" t="s">
        <v>179</v>
      </c>
      <c r="F851">
        <v>240</v>
      </c>
      <c r="G851" s="3">
        <v>8</v>
      </c>
      <c r="H851">
        <v>1957</v>
      </c>
      <c r="I851" t="s">
        <v>181</v>
      </c>
      <c r="J851">
        <v>0</v>
      </c>
      <c r="K851">
        <v>5</v>
      </c>
      <c r="L851">
        <v>26</v>
      </c>
      <c r="M851">
        <v>16</v>
      </c>
    </row>
    <row r="852" spans="1:13" x14ac:dyDescent="0.25">
      <c r="A852">
        <v>851</v>
      </c>
      <c r="B852">
        <v>54</v>
      </c>
      <c r="C852">
        <v>14</v>
      </c>
      <c r="D852" s="2">
        <v>42442.322743055556</v>
      </c>
      <c r="E852" t="s">
        <v>179</v>
      </c>
      <c r="F852">
        <v>300</v>
      </c>
      <c r="G852" s="3">
        <v>9</v>
      </c>
      <c r="H852">
        <v>1860</v>
      </c>
      <c r="I852" t="s">
        <v>181</v>
      </c>
      <c r="J852">
        <v>2</v>
      </c>
      <c r="K852">
        <v>17</v>
      </c>
      <c r="L852">
        <v>19</v>
      </c>
      <c r="M852">
        <v>4</v>
      </c>
    </row>
    <row r="853" spans="1:13" x14ac:dyDescent="0.25">
      <c r="A853">
        <v>852</v>
      </c>
      <c r="B853">
        <v>54</v>
      </c>
      <c r="C853">
        <v>10</v>
      </c>
      <c r="D853" s="2">
        <v>42449.277094907404</v>
      </c>
      <c r="E853" t="s">
        <v>179</v>
      </c>
      <c r="F853">
        <v>300</v>
      </c>
      <c r="G853" s="3">
        <v>10</v>
      </c>
      <c r="H853">
        <v>1831</v>
      </c>
      <c r="I853" t="s">
        <v>181</v>
      </c>
      <c r="J853">
        <v>6</v>
      </c>
      <c r="K853">
        <v>19</v>
      </c>
      <c r="L853">
        <v>15</v>
      </c>
      <c r="M853">
        <v>2</v>
      </c>
    </row>
    <row r="854" spans="1:13" x14ac:dyDescent="0.25">
      <c r="A854">
        <v>853</v>
      </c>
      <c r="B854">
        <v>54</v>
      </c>
      <c r="C854">
        <v>3</v>
      </c>
      <c r="D854" s="2">
        <v>42446.481435185182</v>
      </c>
      <c r="E854" t="s">
        <v>179</v>
      </c>
      <c r="F854">
        <v>30</v>
      </c>
      <c r="G854" s="3">
        <v>11</v>
      </c>
      <c r="H854">
        <v>1735</v>
      </c>
      <c r="I854" t="s">
        <v>181</v>
      </c>
      <c r="J854">
        <v>17</v>
      </c>
      <c r="K854">
        <v>6</v>
      </c>
      <c r="L854">
        <v>4</v>
      </c>
      <c r="M854">
        <v>15</v>
      </c>
    </row>
    <row r="855" spans="1:13" x14ac:dyDescent="0.25">
      <c r="A855">
        <v>854</v>
      </c>
      <c r="B855">
        <v>54</v>
      </c>
      <c r="C855">
        <v>5</v>
      </c>
      <c r="D855" s="2">
        <v>42442.394803240742</v>
      </c>
      <c r="E855" t="s">
        <v>179</v>
      </c>
      <c r="F855">
        <v>90</v>
      </c>
      <c r="G855" s="3">
        <v>12</v>
      </c>
      <c r="H855">
        <v>1706</v>
      </c>
      <c r="I855" t="s">
        <v>181</v>
      </c>
      <c r="J855">
        <v>20</v>
      </c>
      <c r="K855">
        <v>12</v>
      </c>
      <c r="L855">
        <v>1</v>
      </c>
      <c r="M855">
        <v>9</v>
      </c>
    </row>
    <row r="856" spans="1:13" x14ac:dyDescent="0.25">
      <c r="A856">
        <v>855</v>
      </c>
      <c r="B856">
        <v>54</v>
      </c>
      <c r="C856">
        <v>19</v>
      </c>
      <c r="D856" s="2">
        <v>42447.349849537037</v>
      </c>
      <c r="E856" t="s">
        <v>179</v>
      </c>
      <c r="F856">
        <v>90</v>
      </c>
      <c r="G856" s="3">
        <v>13</v>
      </c>
      <c r="H856">
        <v>0</v>
      </c>
      <c r="I856" t="s">
        <v>182</v>
      </c>
      <c r="J856">
        <v>0</v>
      </c>
      <c r="K856">
        <v>0</v>
      </c>
      <c r="L856">
        <v>0</v>
      </c>
      <c r="M856">
        <v>0</v>
      </c>
    </row>
    <row r="857" spans="1:13" x14ac:dyDescent="0.25">
      <c r="A857">
        <v>856</v>
      </c>
      <c r="B857">
        <v>54</v>
      </c>
      <c r="C857">
        <v>23</v>
      </c>
      <c r="D857" s="2">
        <v>42449.314791666664</v>
      </c>
      <c r="E857" t="s">
        <v>179</v>
      </c>
      <c r="F857">
        <v>0</v>
      </c>
      <c r="G857" s="3">
        <v>14</v>
      </c>
      <c r="H857">
        <v>1956</v>
      </c>
      <c r="I857" t="s">
        <v>181</v>
      </c>
      <c r="J857">
        <v>0</v>
      </c>
      <c r="K857">
        <v>0</v>
      </c>
      <c r="L857">
        <v>25</v>
      </c>
      <c r="M857">
        <v>26</v>
      </c>
    </row>
    <row r="858" spans="1:13" x14ac:dyDescent="0.25">
      <c r="A858">
        <v>857</v>
      </c>
      <c r="B858">
        <v>54</v>
      </c>
      <c r="C858">
        <v>15</v>
      </c>
      <c r="D858" s="2">
        <v>42446.145289351851</v>
      </c>
      <c r="E858" t="s">
        <v>179</v>
      </c>
      <c r="F858">
        <v>90</v>
      </c>
      <c r="G858" s="3">
        <v>15</v>
      </c>
      <c r="H858">
        <v>1840</v>
      </c>
      <c r="I858" t="s">
        <v>181</v>
      </c>
      <c r="J858">
        <v>5</v>
      </c>
      <c r="K858">
        <v>2</v>
      </c>
      <c r="L858">
        <v>16</v>
      </c>
      <c r="M858">
        <v>19</v>
      </c>
    </row>
    <row r="859" spans="1:13" x14ac:dyDescent="0.25">
      <c r="A859">
        <v>858</v>
      </c>
      <c r="B859">
        <v>54</v>
      </c>
      <c r="C859">
        <v>20</v>
      </c>
      <c r="D859" s="2">
        <v>42445.778564814813</v>
      </c>
      <c r="E859" t="s">
        <v>179</v>
      </c>
      <c r="F859">
        <v>150</v>
      </c>
      <c r="G859" s="3">
        <v>16</v>
      </c>
      <c r="H859">
        <v>1912</v>
      </c>
      <c r="I859" t="s">
        <v>181</v>
      </c>
      <c r="J859">
        <v>0</v>
      </c>
      <c r="K859">
        <v>1</v>
      </c>
      <c r="L859">
        <v>23</v>
      </c>
      <c r="M859">
        <v>20</v>
      </c>
    </row>
    <row r="860" spans="1:13" x14ac:dyDescent="0.25">
      <c r="A860">
        <v>859</v>
      </c>
      <c r="B860">
        <v>54</v>
      </c>
      <c r="C860">
        <v>21</v>
      </c>
      <c r="D860" s="2">
        <v>42442.359756944446</v>
      </c>
      <c r="E860" t="s">
        <v>179</v>
      </c>
      <c r="F860">
        <v>270</v>
      </c>
      <c r="G860" s="3">
        <v>17</v>
      </c>
      <c r="H860">
        <v>1796</v>
      </c>
      <c r="I860" t="s">
        <v>181</v>
      </c>
      <c r="J860">
        <v>9</v>
      </c>
      <c r="K860">
        <v>20</v>
      </c>
      <c r="L860">
        <v>12</v>
      </c>
      <c r="M860">
        <v>1</v>
      </c>
    </row>
    <row r="861" spans="1:13" x14ac:dyDescent="0.25">
      <c r="A861">
        <v>860</v>
      </c>
      <c r="B861">
        <v>54</v>
      </c>
      <c r="C861">
        <v>27</v>
      </c>
      <c r="D861" s="2">
        <v>42449.940937500003</v>
      </c>
      <c r="E861" t="s">
        <v>179</v>
      </c>
      <c r="F861">
        <v>0</v>
      </c>
      <c r="G861" s="3">
        <v>18</v>
      </c>
      <c r="H861">
        <v>1868</v>
      </c>
      <c r="I861" t="s">
        <v>181</v>
      </c>
      <c r="J861">
        <v>1</v>
      </c>
      <c r="K861">
        <v>0</v>
      </c>
      <c r="L861">
        <v>20</v>
      </c>
      <c r="M861">
        <v>25</v>
      </c>
    </row>
    <row r="862" spans="1:13" x14ac:dyDescent="0.25">
      <c r="A862">
        <v>861</v>
      </c>
      <c r="B862">
        <v>54</v>
      </c>
      <c r="C862">
        <v>18</v>
      </c>
      <c r="D862" s="2">
        <v>42448.824907407405</v>
      </c>
      <c r="E862" t="s">
        <v>179</v>
      </c>
      <c r="F862">
        <v>90</v>
      </c>
      <c r="G862" s="3">
        <v>19</v>
      </c>
      <c r="H862">
        <v>1752</v>
      </c>
      <c r="I862" t="s">
        <v>181</v>
      </c>
      <c r="J862">
        <v>16</v>
      </c>
      <c r="K862">
        <v>11</v>
      </c>
      <c r="L862">
        <v>5</v>
      </c>
      <c r="M862">
        <v>10</v>
      </c>
    </row>
    <row r="863" spans="1:13" x14ac:dyDescent="0.25">
      <c r="A863">
        <v>862</v>
      </c>
      <c r="B863">
        <v>54</v>
      </c>
      <c r="C863">
        <v>6</v>
      </c>
      <c r="D863" s="2">
        <v>42445.405405092592</v>
      </c>
      <c r="E863" t="s">
        <v>179</v>
      </c>
      <c r="F863">
        <v>270</v>
      </c>
      <c r="G863" s="3">
        <v>20</v>
      </c>
      <c r="H863">
        <v>1824</v>
      </c>
      <c r="I863" t="s">
        <v>181</v>
      </c>
      <c r="J863">
        <v>7</v>
      </c>
      <c r="K863">
        <v>18</v>
      </c>
      <c r="L863">
        <v>14</v>
      </c>
      <c r="M863">
        <v>3</v>
      </c>
    </row>
    <row r="864" spans="1:13" x14ac:dyDescent="0.25">
      <c r="A864">
        <v>863</v>
      </c>
      <c r="B864">
        <v>54</v>
      </c>
      <c r="C864">
        <v>11</v>
      </c>
      <c r="D864" s="2">
        <v>42444.027569444443</v>
      </c>
      <c r="E864" t="s">
        <v>179</v>
      </c>
      <c r="F864">
        <v>30</v>
      </c>
      <c r="G864" s="3">
        <v>21</v>
      </c>
      <c r="H864">
        <v>1708</v>
      </c>
      <c r="I864" t="s">
        <v>181</v>
      </c>
      <c r="J864">
        <v>19</v>
      </c>
      <c r="K864">
        <v>10</v>
      </c>
      <c r="L864">
        <v>2</v>
      </c>
      <c r="M864">
        <v>11</v>
      </c>
    </row>
    <row r="865" spans="1:13" x14ac:dyDescent="0.25">
      <c r="A865">
        <v>864</v>
      </c>
      <c r="B865">
        <v>54</v>
      </c>
      <c r="C865">
        <v>24</v>
      </c>
      <c r="D865" s="2">
        <v>42449.619687500002</v>
      </c>
      <c r="E865" t="s">
        <v>179</v>
      </c>
      <c r="F865">
        <v>90</v>
      </c>
      <c r="G865" s="3">
        <v>22</v>
      </c>
      <c r="H865">
        <v>1780</v>
      </c>
      <c r="I865" t="s">
        <v>181</v>
      </c>
      <c r="J865">
        <v>12</v>
      </c>
      <c r="K865">
        <v>9</v>
      </c>
      <c r="L865">
        <v>9</v>
      </c>
      <c r="M865">
        <v>12</v>
      </c>
    </row>
    <row r="866" spans="1:13" x14ac:dyDescent="0.25">
      <c r="A866">
        <v>865</v>
      </c>
      <c r="B866">
        <v>54</v>
      </c>
      <c r="C866">
        <v>29</v>
      </c>
      <c r="D866" s="2">
        <v>42448.241851851853</v>
      </c>
      <c r="E866" t="s">
        <v>179</v>
      </c>
      <c r="F866">
        <v>180</v>
      </c>
      <c r="G866" s="3">
        <v>23</v>
      </c>
      <c r="H866">
        <v>0</v>
      </c>
      <c r="I866" t="s">
        <v>182</v>
      </c>
      <c r="J866">
        <v>0</v>
      </c>
      <c r="K866">
        <v>0</v>
      </c>
      <c r="L866">
        <v>0</v>
      </c>
      <c r="M866">
        <v>0</v>
      </c>
    </row>
    <row r="867" spans="1:13" x14ac:dyDescent="0.25">
      <c r="A867">
        <v>866</v>
      </c>
      <c r="B867">
        <v>54</v>
      </c>
      <c r="C867">
        <v>25</v>
      </c>
      <c r="D867" s="2">
        <v>42448.711631944447</v>
      </c>
      <c r="E867" t="s">
        <v>179</v>
      </c>
      <c r="F867">
        <v>30</v>
      </c>
      <c r="G867" s="3">
        <v>24</v>
      </c>
      <c r="H867">
        <v>1756</v>
      </c>
      <c r="I867" t="s">
        <v>181</v>
      </c>
      <c r="J867">
        <v>14</v>
      </c>
      <c r="K867">
        <v>4</v>
      </c>
      <c r="L867">
        <v>7</v>
      </c>
      <c r="M867">
        <v>17</v>
      </c>
    </row>
    <row r="868" spans="1:13" x14ac:dyDescent="0.25">
      <c r="A868">
        <v>867</v>
      </c>
      <c r="B868">
        <v>54</v>
      </c>
      <c r="C868">
        <v>26</v>
      </c>
      <c r="D868" s="2">
        <v>42447.883668981478</v>
      </c>
      <c r="E868" t="s">
        <v>179</v>
      </c>
      <c r="F868">
        <v>180</v>
      </c>
      <c r="G868" s="3">
        <v>25</v>
      </c>
      <c r="H868">
        <v>1782</v>
      </c>
      <c r="I868" t="s">
        <v>181</v>
      </c>
      <c r="J868">
        <v>11</v>
      </c>
      <c r="K868">
        <v>15</v>
      </c>
      <c r="L868">
        <v>10</v>
      </c>
      <c r="M868">
        <v>6</v>
      </c>
    </row>
    <row r="869" spans="1:13" x14ac:dyDescent="0.25">
      <c r="A869">
        <v>868</v>
      </c>
      <c r="B869">
        <v>54</v>
      </c>
      <c r="C869">
        <v>22</v>
      </c>
      <c r="D869" s="2">
        <v>42443.783622685187</v>
      </c>
      <c r="E869" t="s">
        <v>179</v>
      </c>
      <c r="F869">
        <v>150</v>
      </c>
      <c r="G869" s="3">
        <v>26</v>
      </c>
      <c r="H869">
        <v>1929</v>
      </c>
      <c r="I869" t="s">
        <v>181</v>
      </c>
      <c r="J869">
        <v>0</v>
      </c>
      <c r="K869">
        <v>0</v>
      </c>
      <c r="L869">
        <v>24</v>
      </c>
      <c r="M869">
        <v>21</v>
      </c>
    </row>
    <row r="870" spans="1:13" x14ac:dyDescent="0.25">
      <c r="A870">
        <v>869</v>
      </c>
      <c r="B870">
        <v>54</v>
      </c>
      <c r="C870">
        <v>17</v>
      </c>
      <c r="D870" s="2">
        <v>42445.391226851854</v>
      </c>
      <c r="E870" t="s">
        <v>179</v>
      </c>
      <c r="F870">
        <v>120</v>
      </c>
      <c r="G870" s="3">
        <v>27</v>
      </c>
      <c r="H870">
        <v>1820</v>
      </c>
      <c r="I870" t="s">
        <v>181</v>
      </c>
      <c r="J870">
        <v>8</v>
      </c>
      <c r="K870">
        <v>7</v>
      </c>
      <c r="L870">
        <v>13</v>
      </c>
      <c r="M870">
        <v>14</v>
      </c>
    </row>
    <row r="871" spans="1:13" x14ac:dyDescent="0.25">
      <c r="A871">
        <v>870</v>
      </c>
      <c r="B871">
        <v>54</v>
      </c>
      <c r="C871">
        <v>30</v>
      </c>
      <c r="D871" s="2">
        <v>42448.260810185187</v>
      </c>
      <c r="E871" t="s">
        <v>179</v>
      </c>
      <c r="F871">
        <v>90</v>
      </c>
      <c r="G871" s="3">
        <v>28</v>
      </c>
      <c r="H871">
        <v>1899</v>
      </c>
      <c r="I871" t="s">
        <v>181</v>
      </c>
      <c r="J871">
        <v>0</v>
      </c>
      <c r="K871">
        <v>0</v>
      </c>
      <c r="L871">
        <v>21</v>
      </c>
      <c r="M871">
        <v>23</v>
      </c>
    </row>
    <row r="872" spans="1:13" x14ac:dyDescent="0.25">
      <c r="A872">
        <v>871</v>
      </c>
      <c r="B872">
        <v>54</v>
      </c>
      <c r="C872">
        <v>9</v>
      </c>
      <c r="D872" s="2">
        <v>42444.910763888889</v>
      </c>
      <c r="E872" t="s">
        <v>179</v>
      </c>
      <c r="F872">
        <v>60</v>
      </c>
      <c r="G872" s="3">
        <v>29</v>
      </c>
      <c r="H872">
        <v>1789</v>
      </c>
      <c r="I872" t="s">
        <v>181</v>
      </c>
      <c r="J872">
        <v>10</v>
      </c>
      <c r="K872">
        <v>3</v>
      </c>
      <c r="L872">
        <v>11</v>
      </c>
      <c r="M872">
        <v>18</v>
      </c>
    </row>
    <row r="873" spans="1:13" x14ac:dyDescent="0.25">
      <c r="A873">
        <v>872</v>
      </c>
      <c r="B873">
        <v>55</v>
      </c>
      <c r="C873">
        <v>27</v>
      </c>
      <c r="D873" s="2">
        <v>42469.696296296293</v>
      </c>
      <c r="E873" t="s">
        <v>179</v>
      </c>
      <c r="F873">
        <v>240</v>
      </c>
      <c r="G873" s="3">
        <v>1</v>
      </c>
      <c r="H873">
        <v>1532</v>
      </c>
      <c r="I873" t="s">
        <v>181</v>
      </c>
      <c r="J873">
        <v>17</v>
      </c>
      <c r="K873">
        <v>19</v>
      </c>
      <c r="L873">
        <v>4</v>
      </c>
      <c r="M873">
        <v>2</v>
      </c>
    </row>
    <row r="874" spans="1:13" x14ac:dyDescent="0.25">
      <c r="A874">
        <v>873</v>
      </c>
      <c r="B874">
        <v>55</v>
      </c>
      <c r="C874">
        <v>23</v>
      </c>
      <c r="D874" s="2">
        <v>42451.596261574072</v>
      </c>
      <c r="E874" t="s">
        <v>179</v>
      </c>
      <c r="F874">
        <v>180</v>
      </c>
      <c r="G874" s="3">
        <v>2</v>
      </c>
      <c r="H874">
        <v>1440</v>
      </c>
      <c r="I874" t="s">
        <v>181</v>
      </c>
      <c r="J874">
        <v>20</v>
      </c>
      <c r="K874">
        <v>20</v>
      </c>
      <c r="L874">
        <v>1</v>
      </c>
      <c r="M874">
        <v>1</v>
      </c>
    </row>
    <row r="875" spans="1:13" x14ac:dyDescent="0.25">
      <c r="A875">
        <v>874</v>
      </c>
      <c r="B875">
        <v>55</v>
      </c>
      <c r="C875">
        <v>7</v>
      </c>
      <c r="D875" s="2">
        <v>42465.246400462966</v>
      </c>
      <c r="E875" t="s">
        <v>179</v>
      </c>
      <c r="F875">
        <v>180</v>
      </c>
      <c r="G875" s="3">
        <v>3</v>
      </c>
      <c r="H875">
        <v>1563</v>
      </c>
      <c r="I875" t="s">
        <v>181</v>
      </c>
      <c r="J875">
        <v>16</v>
      </c>
      <c r="K875">
        <v>17</v>
      </c>
      <c r="L875">
        <v>5</v>
      </c>
      <c r="M875">
        <v>4</v>
      </c>
    </row>
    <row r="876" spans="1:13" x14ac:dyDescent="0.25">
      <c r="A876">
        <v>875</v>
      </c>
      <c r="B876">
        <v>55</v>
      </c>
      <c r="C876">
        <v>5</v>
      </c>
      <c r="D876" s="2">
        <v>42472.115810185183</v>
      </c>
      <c r="E876" t="s">
        <v>179</v>
      </c>
      <c r="F876">
        <v>150</v>
      </c>
      <c r="G876" s="3">
        <v>4</v>
      </c>
      <c r="H876">
        <v>1471</v>
      </c>
      <c r="I876" t="s">
        <v>181</v>
      </c>
      <c r="J876">
        <v>19</v>
      </c>
      <c r="K876">
        <v>18</v>
      </c>
      <c r="L876">
        <v>2</v>
      </c>
      <c r="M876">
        <v>3</v>
      </c>
    </row>
    <row r="877" spans="1:13" x14ac:dyDescent="0.25">
      <c r="A877">
        <v>876</v>
      </c>
      <c r="B877">
        <v>55</v>
      </c>
      <c r="C877">
        <v>25</v>
      </c>
      <c r="D877" s="2">
        <v>42460.724097222221</v>
      </c>
      <c r="E877" t="s">
        <v>179</v>
      </c>
      <c r="F877">
        <v>120</v>
      </c>
      <c r="G877" s="3">
        <v>5</v>
      </c>
      <c r="H877">
        <v>1594</v>
      </c>
      <c r="I877" t="s">
        <v>181</v>
      </c>
      <c r="J877">
        <v>15</v>
      </c>
      <c r="K877">
        <v>15</v>
      </c>
      <c r="L877">
        <v>6</v>
      </c>
      <c r="M877">
        <v>6</v>
      </c>
    </row>
    <row r="878" spans="1:13" x14ac:dyDescent="0.25">
      <c r="A878">
        <v>877</v>
      </c>
      <c r="B878">
        <v>55</v>
      </c>
      <c r="C878">
        <v>6</v>
      </c>
      <c r="D878" s="2">
        <v>42468.624236111114</v>
      </c>
      <c r="E878" t="s">
        <v>179</v>
      </c>
      <c r="F878">
        <v>90</v>
      </c>
      <c r="G878" s="3">
        <v>6</v>
      </c>
      <c r="H878">
        <v>1503</v>
      </c>
      <c r="I878" t="s">
        <v>181</v>
      </c>
      <c r="J878">
        <v>18</v>
      </c>
      <c r="K878">
        <v>16</v>
      </c>
      <c r="L878">
        <v>3</v>
      </c>
      <c r="M878">
        <v>5</v>
      </c>
    </row>
    <row r="879" spans="1:13" x14ac:dyDescent="0.25">
      <c r="A879">
        <v>878</v>
      </c>
      <c r="B879">
        <v>56</v>
      </c>
      <c r="C879">
        <v>7</v>
      </c>
      <c r="D879" s="2">
        <v>42475.450752314813</v>
      </c>
      <c r="E879" t="s">
        <v>179</v>
      </c>
      <c r="F879">
        <v>270</v>
      </c>
      <c r="G879" s="3">
        <v>1</v>
      </c>
      <c r="H879">
        <v>1842</v>
      </c>
      <c r="I879" t="s">
        <v>181</v>
      </c>
      <c r="J879">
        <v>5</v>
      </c>
      <c r="K879">
        <v>16</v>
      </c>
      <c r="L879">
        <v>16</v>
      </c>
      <c r="M879">
        <v>5</v>
      </c>
    </row>
    <row r="880" spans="1:13" x14ac:dyDescent="0.25">
      <c r="A880">
        <v>879</v>
      </c>
      <c r="B880">
        <v>56</v>
      </c>
      <c r="C880">
        <v>29</v>
      </c>
      <c r="D880" s="2">
        <v>42478.070150462961</v>
      </c>
      <c r="E880" t="s">
        <v>179</v>
      </c>
      <c r="F880">
        <v>240</v>
      </c>
      <c r="G880" s="3">
        <v>2</v>
      </c>
      <c r="H880">
        <v>1921</v>
      </c>
      <c r="I880" t="s">
        <v>181</v>
      </c>
      <c r="J880">
        <v>0</v>
      </c>
      <c r="K880">
        <v>8</v>
      </c>
      <c r="L880">
        <v>21</v>
      </c>
      <c r="M880">
        <v>13</v>
      </c>
    </row>
    <row r="881" spans="1:13" x14ac:dyDescent="0.25">
      <c r="A881">
        <v>880</v>
      </c>
      <c r="B881">
        <v>56</v>
      </c>
      <c r="C881">
        <v>23</v>
      </c>
      <c r="D881" s="2">
        <v>42474.928622685184</v>
      </c>
      <c r="E881" t="s">
        <v>179</v>
      </c>
      <c r="F881">
        <v>180</v>
      </c>
      <c r="G881" s="3">
        <v>3</v>
      </c>
      <c r="H881">
        <v>1811</v>
      </c>
      <c r="I881" t="s">
        <v>181</v>
      </c>
      <c r="J881">
        <v>10</v>
      </c>
      <c r="K881">
        <v>11</v>
      </c>
      <c r="L881">
        <v>11</v>
      </c>
      <c r="M881">
        <v>10</v>
      </c>
    </row>
    <row r="882" spans="1:13" x14ac:dyDescent="0.25">
      <c r="A882">
        <v>881</v>
      </c>
      <c r="B882">
        <v>56</v>
      </c>
      <c r="C882">
        <v>16</v>
      </c>
      <c r="D882" s="2">
        <v>42476.578587962962</v>
      </c>
      <c r="E882" t="s">
        <v>179</v>
      </c>
      <c r="F882">
        <v>150</v>
      </c>
      <c r="G882" s="3">
        <v>4</v>
      </c>
      <c r="H882">
        <v>0</v>
      </c>
      <c r="I882" t="s">
        <v>180</v>
      </c>
      <c r="J882">
        <v>0</v>
      </c>
      <c r="K882">
        <v>0</v>
      </c>
      <c r="L882">
        <v>0</v>
      </c>
      <c r="M882">
        <v>0</v>
      </c>
    </row>
    <row r="883" spans="1:13" x14ac:dyDescent="0.25">
      <c r="A883">
        <v>882</v>
      </c>
      <c r="B883">
        <v>56</v>
      </c>
      <c r="C883">
        <v>10</v>
      </c>
      <c r="D883" s="2">
        <v>42474.517337962963</v>
      </c>
      <c r="E883" t="s">
        <v>179</v>
      </c>
      <c r="F883">
        <v>0</v>
      </c>
      <c r="G883" s="3">
        <v>5</v>
      </c>
      <c r="H883">
        <v>1740</v>
      </c>
      <c r="I883" t="s">
        <v>181</v>
      </c>
      <c r="J883">
        <v>19</v>
      </c>
      <c r="K883">
        <v>1</v>
      </c>
      <c r="L883">
        <v>2</v>
      </c>
      <c r="M883">
        <v>20</v>
      </c>
    </row>
    <row r="884" spans="1:13" x14ac:dyDescent="0.25">
      <c r="A884">
        <v>883</v>
      </c>
      <c r="B884">
        <v>56</v>
      </c>
      <c r="C884">
        <v>24</v>
      </c>
      <c r="D884" s="2">
        <v>42476.112407407411</v>
      </c>
      <c r="E884" t="s">
        <v>179</v>
      </c>
      <c r="F884">
        <v>270</v>
      </c>
      <c r="G884" s="3">
        <v>6</v>
      </c>
      <c r="H884">
        <v>1806</v>
      </c>
      <c r="I884" t="s">
        <v>181</v>
      </c>
      <c r="J884">
        <v>12</v>
      </c>
      <c r="K884">
        <v>17</v>
      </c>
      <c r="L884">
        <v>9</v>
      </c>
      <c r="M884">
        <v>4</v>
      </c>
    </row>
    <row r="885" spans="1:13" x14ac:dyDescent="0.25">
      <c r="A885">
        <v>884</v>
      </c>
      <c r="B885">
        <v>56</v>
      </c>
      <c r="C885">
        <v>9</v>
      </c>
      <c r="D885" s="2">
        <v>42478.635057870371</v>
      </c>
      <c r="E885" t="s">
        <v>179</v>
      </c>
      <c r="F885">
        <v>120</v>
      </c>
      <c r="G885" s="3">
        <v>7</v>
      </c>
      <c r="H885">
        <v>1940</v>
      </c>
      <c r="I885" t="s">
        <v>181</v>
      </c>
      <c r="J885">
        <v>0</v>
      </c>
      <c r="K885">
        <v>0</v>
      </c>
      <c r="L885">
        <v>23</v>
      </c>
      <c r="M885">
        <v>23</v>
      </c>
    </row>
    <row r="886" spans="1:13" x14ac:dyDescent="0.25">
      <c r="A886">
        <v>885</v>
      </c>
      <c r="B886">
        <v>56</v>
      </c>
      <c r="C886">
        <v>6</v>
      </c>
      <c r="D886" s="2">
        <v>42480.230115740742</v>
      </c>
      <c r="E886" t="s">
        <v>179</v>
      </c>
      <c r="F886">
        <v>0</v>
      </c>
      <c r="G886" s="3">
        <v>8</v>
      </c>
      <c r="H886">
        <v>1749</v>
      </c>
      <c r="I886" t="s">
        <v>181</v>
      </c>
      <c r="J886">
        <v>17</v>
      </c>
      <c r="K886">
        <v>0</v>
      </c>
      <c r="L886">
        <v>4</v>
      </c>
      <c r="M886">
        <v>22</v>
      </c>
    </row>
    <row r="887" spans="1:13" x14ac:dyDescent="0.25">
      <c r="A887">
        <v>886</v>
      </c>
      <c r="B887">
        <v>56</v>
      </c>
      <c r="C887">
        <v>30</v>
      </c>
      <c r="D887" s="2">
        <v>42479.794444444444</v>
      </c>
      <c r="E887" t="s">
        <v>179</v>
      </c>
      <c r="F887">
        <v>180</v>
      </c>
      <c r="G887" s="3">
        <v>9</v>
      </c>
      <c r="H887">
        <v>1814</v>
      </c>
      <c r="I887" t="s">
        <v>181</v>
      </c>
      <c r="J887">
        <v>9</v>
      </c>
      <c r="K887">
        <v>10</v>
      </c>
      <c r="L887">
        <v>12</v>
      </c>
      <c r="M887">
        <v>11</v>
      </c>
    </row>
    <row r="888" spans="1:13" x14ac:dyDescent="0.25">
      <c r="A888">
        <v>887</v>
      </c>
      <c r="B888">
        <v>56</v>
      </c>
      <c r="C888">
        <v>20</v>
      </c>
      <c r="D888" s="2">
        <v>42481.098530092589</v>
      </c>
      <c r="E888" t="s">
        <v>179</v>
      </c>
      <c r="F888">
        <v>60</v>
      </c>
      <c r="G888" s="3">
        <v>10</v>
      </c>
      <c r="H888">
        <v>1880</v>
      </c>
      <c r="I888" t="s">
        <v>181</v>
      </c>
      <c r="J888">
        <v>3</v>
      </c>
      <c r="K888">
        <v>0</v>
      </c>
      <c r="L888">
        <v>18</v>
      </c>
      <c r="M888">
        <v>23</v>
      </c>
    </row>
    <row r="889" spans="1:13" x14ac:dyDescent="0.25">
      <c r="A889">
        <v>888</v>
      </c>
      <c r="B889">
        <v>56</v>
      </c>
      <c r="C889">
        <v>3</v>
      </c>
      <c r="D889" s="2">
        <v>42475.704699074071</v>
      </c>
      <c r="E889" t="s">
        <v>179</v>
      </c>
      <c r="F889">
        <v>30</v>
      </c>
      <c r="G889" s="3">
        <v>11</v>
      </c>
      <c r="H889">
        <v>1946</v>
      </c>
      <c r="I889" t="s">
        <v>181</v>
      </c>
      <c r="J889">
        <v>0</v>
      </c>
      <c r="K889">
        <v>0</v>
      </c>
      <c r="L889">
        <v>24</v>
      </c>
      <c r="M889">
        <v>25</v>
      </c>
    </row>
    <row r="890" spans="1:13" x14ac:dyDescent="0.25">
      <c r="A890">
        <v>889</v>
      </c>
      <c r="B890">
        <v>56</v>
      </c>
      <c r="C890">
        <v>1</v>
      </c>
      <c r="D890" s="2">
        <v>42475.257222222222</v>
      </c>
      <c r="E890" t="s">
        <v>179</v>
      </c>
      <c r="F890">
        <v>240</v>
      </c>
      <c r="G890" s="3">
        <v>12</v>
      </c>
      <c r="H890">
        <v>1755</v>
      </c>
      <c r="I890" t="s">
        <v>181</v>
      </c>
      <c r="J890">
        <v>16</v>
      </c>
      <c r="K890">
        <v>18</v>
      </c>
      <c r="L890">
        <v>5</v>
      </c>
      <c r="M890">
        <v>3</v>
      </c>
    </row>
    <row r="891" spans="1:13" x14ac:dyDescent="0.25">
      <c r="A891">
        <v>890</v>
      </c>
      <c r="B891">
        <v>56</v>
      </c>
      <c r="C891">
        <v>19</v>
      </c>
      <c r="D891" s="2">
        <v>42476.82172453704</v>
      </c>
      <c r="E891" t="s">
        <v>179</v>
      </c>
      <c r="F891">
        <v>90</v>
      </c>
      <c r="G891" s="3">
        <v>13</v>
      </c>
      <c r="H891">
        <v>1821</v>
      </c>
      <c r="I891" t="s">
        <v>181</v>
      </c>
      <c r="J891">
        <v>8</v>
      </c>
      <c r="K891">
        <v>3</v>
      </c>
      <c r="L891">
        <v>13</v>
      </c>
      <c r="M891">
        <v>18</v>
      </c>
    </row>
    <row r="892" spans="1:13" x14ac:dyDescent="0.25">
      <c r="A892">
        <v>891</v>
      </c>
      <c r="B892">
        <v>56</v>
      </c>
      <c r="C892">
        <v>5</v>
      </c>
      <c r="D892" s="2">
        <v>42478.375636574077</v>
      </c>
      <c r="E892" t="s">
        <v>179</v>
      </c>
      <c r="F892">
        <v>300</v>
      </c>
      <c r="G892" s="3">
        <v>14</v>
      </c>
      <c r="H892">
        <v>1887</v>
      </c>
      <c r="I892" t="s">
        <v>181</v>
      </c>
      <c r="J892">
        <v>2</v>
      </c>
      <c r="K892">
        <v>14</v>
      </c>
      <c r="L892">
        <v>19</v>
      </c>
      <c r="M892">
        <v>7</v>
      </c>
    </row>
    <row r="893" spans="1:13" x14ac:dyDescent="0.25">
      <c r="A893">
        <v>892</v>
      </c>
      <c r="B893">
        <v>56</v>
      </c>
      <c r="C893">
        <v>18</v>
      </c>
      <c r="D893" s="2">
        <v>42480.970694444448</v>
      </c>
      <c r="E893" t="s">
        <v>179</v>
      </c>
      <c r="F893">
        <v>240</v>
      </c>
      <c r="G893" s="3">
        <v>15</v>
      </c>
      <c r="H893">
        <v>1953</v>
      </c>
      <c r="I893" t="s">
        <v>181</v>
      </c>
      <c r="J893">
        <v>0</v>
      </c>
      <c r="K893">
        <v>6</v>
      </c>
      <c r="L893">
        <v>25</v>
      </c>
      <c r="M893">
        <v>15</v>
      </c>
    </row>
    <row r="894" spans="1:13" x14ac:dyDescent="0.25">
      <c r="A894">
        <v>893</v>
      </c>
      <c r="B894">
        <v>56</v>
      </c>
      <c r="C894">
        <v>31</v>
      </c>
      <c r="D894" s="2">
        <v>42480.285011574073</v>
      </c>
      <c r="E894" t="s">
        <v>179</v>
      </c>
      <c r="F894">
        <v>90</v>
      </c>
      <c r="G894" s="3">
        <v>16</v>
      </c>
      <c r="H894">
        <v>1762</v>
      </c>
      <c r="I894" t="s">
        <v>181</v>
      </c>
      <c r="J894">
        <v>15</v>
      </c>
      <c r="K894">
        <v>9</v>
      </c>
      <c r="L894">
        <v>6</v>
      </c>
      <c r="M894">
        <v>12</v>
      </c>
    </row>
    <row r="895" spans="1:13" x14ac:dyDescent="0.25">
      <c r="A895">
        <v>894</v>
      </c>
      <c r="B895">
        <v>56</v>
      </c>
      <c r="C895">
        <v>27</v>
      </c>
      <c r="D895" s="2">
        <v>42474.838414351849</v>
      </c>
      <c r="E895" t="s">
        <v>179</v>
      </c>
      <c r="F895">
        <v>300</v>
      </c>
      <c r="G895" s="3">
        <v>17</v>
      </c>
      <c r="H895">
        <v>1896</v>
      </c>
      <c r="I895" t="s">
        <v>181</v>
      </c>
      <c r="J895">
        <v>1</v>
      </c>
      <c r="K895">
        <v>12</v>
      </c>
      <c r="L895">
        <v>20</v>
      </c>
      <c r="M895">
        <v>9</v>
      </c>
    </row>
    <row r="896" spans="1:13" x14ac:dyDescent="0.25">
      <c r="A896">
        <v>895</v>
      </c>
      <c r="B896">
        <v>56</v>
      </c>
      <c r="C896">
        <v>17</v>
      </c>
      <c r="D896" s="2">
        <v>42476.44458333333</v>
      </c>
      <c r="E896" t="s">
        <v>179</v>
      </c>
      <c r="F896">
        <v>150</v>
      </c>
      <c r="G896" s="3">
        <v>18</v>
      </c>
      <c r="H896">
        <v>0</v>
      </c>
      <c r="I896" t="s">
        <v>182</v>
      </c>
      <c r="J896">
        <v>0</v>
      </c>
      <c r="K896">
        <v>0</v>
      </c>
      <c r="L896">
        <v>0</v>
      </c>
      <c r="M896">
        <v>0</v>
      </c>
    </row>
    <row r="897" spans="1:13" x14ac:dyDescent="0.25">
      <c r="A897">
        <v>896</v>
      </c>
      <c r="B897">
        <v>56</v>
      </c>
      <c r="C897">
        <v>25</v>
      </c>
      <c r="D897" s="2">
        <v>42481.208993055552</v>
      </c>
      <c r="E897" t="s">
        <v>179</v>
      </c>
      <c r="F897">
        <v>270</v>
      </c>
      <c r="G897" s="3">
        <v>19</v>
      </c>
      <c r="H897">
        <v>1851</v>
      </c>
      <c r="I897" t="s">
        <v>181</v>
      </c>
      <c r="J897">
        <v>4</v>
      </c>
      <c r="K897">
        <v>15</v>
      </c>
      <c r="L897">
        <v>17</v>
      </c>
      <c r="M897">
        <v>6</v>
      </c>
    </row>
    <row r="898" spans="1:13" x14ac:dyDescent="0.25">
      <c r="A898">
        <v>897</v>
      </c>
      <c r="B898">
        <v>56</v>
      </c>
      <c r="C898">
        <v>8</v>
      </c>
      <c r="D898" s="2">
        <v>42476.48228009259</v>
      </c>
      <c r="E898" t="s">
        <v>179</v>
      </c>
      <c r="F898">
        <v>240</v>
      </c>
      <c r="G898" s="3">
        <v>20</v>
      </c>
      <c r="H898">
        <v>1829</v>
      </c>
      <c r="I898" t="s">
        <v>181</v>
      </c>
      <c r="J898">
        <v>7</v>
      </c>
      <c r="K898">
        <v>13</v>
      </c>
      <c r="L898">
        <v>14</v>
      </c>
      <c r="M898">
        <v>8</v>
      </c>
    </row>
    <row r="899" spans="1:13" x14ac:dyDescent="0.25">
      <c r="A899">
        <v>898</v>
      </c>
      <c r="B899">
        <v>56</v>
      </c>
      <c r="C899">
        <v>22</v>
      </c>
      <c r="D899" s="2">
        <v>42478.672754629632</v>
      </c>
      <c r="E899" t="s">
        <v>179</v>
      </c>
      <c r="F899">
        <v>90</v>
      </c>
      <c r="G899" s="3">
        <v>21</v>
      </c>
      <c r="H899">
        <v>1807</v>
      </c>
      <c r="I899" t="s">
        <v>181</v>
      </c>
      <c r="J899">
        <v>11</v>
      </c>
      <c r="K899">
        <v>5</v>
      </c>
      <c r="L899">
        <v>10</v>
      </c>
      <c r="M899">
        <v>16</v>
      </c>
    </row>
    <row r="900" spans="1:13" x14ac:dyDescent="0.25">
      <c r="A900">
        <v>899</v>
      </c>
      <c r="B900">
        <v>56</v>
      </c>
      <c r="C900">
        <v>12</v>
      </c>
      <c r="D900" s="2">
        <v>42480.946747685186</v>
      </c>
      <c r="E900" t="s">
        <v>179</v>
      </c>
      <c r="F900">
        <v>60</v>
      </c>
      <c r="G900" s="3">
        <v>22</v>
      </c>
      <c r="H900">
        <v>1785</v>
      </c>
      <c r="I900" t="s">
        <v>181</v>
      </c>
      <c r="J900">
        <v>13</v>
      </c>
      <c r="K900">
        <v>4</v>
      </c>
      <c r="L900">
        <v>8</v>
      </c>
      <c r="M900">
        <v>17</v>
      </c>
    </row>
    <row r="901" spans="1:13" x14ac:dyDescent="0.25">
      <c r="A901">
        <v>900</v>
      </c>
      <c r="B901">
        <v>56</v>
      </c>
      <c r="C901">
        <v>21</v>
      </c>
      <c r="D901" s="2">
        <v>42474.876111111109</v>
      </c>
      <c r="E901" t="s">
        <v>179</v>
      </c>
      <c r="F901">
        <v>30</v>
      </c>
      <c r="G901" s="3">
        <v>23</v>
      </c>
      <c r="H901">
        <v>1763</v>
      </c>
      <c r="I901" t="s">
        <v>181</v>
      </c>
      <c r="J901">
        <v>14</v>
      </c>
      <c r="K901">
        <v>2</v>
      </c>
      <c r="L901">
        <v>7</v>
      </c>
      <c r="M901">
        <v>19</v>
      </c>
    </row>
    <row r="902" spans="1:13" x14ac:dyDescent="0.25">
      <c r="A902">
        <v>901</v>
      </c>
      <c r="B902">
        <v>56</v>
      </c>
      <c r="C902">
        <v>15</v>
      </c>
      <c r="D902" s="2">
        <v>42476.107743055552</v>
      </c>
      <c r="E902" t="s">
        <v>179</v>
      </c>
      <c r="F902">
        <v>240</v>
      </c>
      <c r="G902" s="3">
        <v>24</v>
      </c>
      <c r="H902">
        <v>1741</v>
      </c>
      <c r="I902" t="s">
        <v>181</v>
      </c>
      <c r="J902">
        <v>18</v>
      </c>
      <c r="K902">
        <v>19</v>
      </c>
      <c r="L902">
        <v>3</v>
      </c>
      <c r="M902">
        <v>2</v>
      </c>
    </row>
    <row r="903" spans="1:13" x14ac:dyDescent="0.25">
      <c r="A903">
        <v>902</v>
      </c>
      <c r="B903">
        <v>56</v>
      </c>
      <c r="C903">
        <v>26</v>
      </c>
      <c r="D903" s="2">
        <v>42478.340578703705</v>
      </c>
      <c r="E903" t="s">
        <v>179</v>
      </c>
      <c r="F903">
        <v>180</v>
      </c>
      <c r="G903" s="3">
        <v>25</v>
      </c>
      <c r="H903">
        <v>0</v>
      </c>
      <c r="I903" t="s">
        <v>180</v>
      </c>
      <c r="J903">
        <v>0</v>
      </c>
      <c r="K903">
        <v>0</v>
      </c>
      <c r="L903">
        <v>0</v>
      </c>
      <c r="M903">
        <v>0</v>
      </c>
    </row>
    <row r="904" spans="1:13" x14ac:dyDescent="0.25">
      <c r="A904">
        <v>903</v>
      </c>
      <c r="B904">
        <v>56</v>
      </c>
      <c r="C904">
        <v>28</v>
      </c>
      <c r="D904" s="2">
        <v>42476.074513888889</v>
      </c>
      <c r="E904" t="s">
        <v>179</v>
      </c>
      <c r="F904">
        <v>240</v>
      </c>
      <c r="G904" s="3">
        <v>26</v>
      </c>
      <c r="H904">
        <v>1938</v>
      </c>
      <c r="I904" t="s">
        <v>181</v>
      </c>
      <c r="J904">
        <v>0</v>
      </c>
      <c r="K904">
        <v>7</v>
      </c>
      <c r="L904">
        <v>22</v>
      </c>
      <c r="M904">
        <v>14</v>
      </c>
    </row>
    <row r="905" spans="1:13" x14ac:dyDescent="0.25">
      <c r="A905">
        <v>904</v>
      </c>
      <c r="B905">
        <v>56</v>
      </c>
      <c r="C905">
        <v>13</v>
      </c>
      <c r="D905" s="2">
        <v>42475.960092592592</v>
      </c>
      <c r="E905" t="s">
        <v>179</v>
      </c>
      <c r="F905">
        <v>90</v>
      </c>
      <c r="G905" s="3">
        <v>27</v>
      </c>
      <c r="H905">
        <v>1835</v>
      </c>
      <c r="I905" t="s">
        <v>181</v>
      </c>
      <c r="J905">
        <v>6</v>
      </c>
      <c r="K905">
        <v>0</v>
      </c>
      <c r="L905">
        <v>15</v>
      </c>
      <c r="M905">
        <v>21</v>
      </c>
    </row>
    <row r="906" spans="1:13" x14ac:dyDescent="0.25">
      <c r="A906">
        <v>905</v>
      </c>
      <c r="B906">
        <v>56</v>
      </c>
      <c r="C906">
        <v>14</v>
      </c>
      <c r="D906" s="2">
        <v>42477.888032407405</v>
      </c>
      <c r="E906" t="s">
        <v>179</v>
      </c>
      <c r="F906">
        <v>270</v>
      </c>
      <c r="G906" s="3">
        <v>28</v>
      </c>
      <c r="H906">
        <v>1731</v>
      </c>
      <c r="I906" t="s">
        <v>181</v>
      </c>
      <c r="J906">
        <v>20</v>
      </c>
      <c r="K906">
        <v>20</v>
      </c>
      <c r="L906">
        <v>1</v>
      </c>
      <c r="M906">
        <v>1</v>
      </c>
    </row>
    <row r="907" spans="1:13" x14ac:dyDescent="0.25">
      <c r="A907">
        <v>906</v>
      </c>
      <c r="B907">
        <v>57</v>
      </c>
      <c r="C907">
        <v>14</v>
      </c>
      <c r="D907" s="2">
        <v>42482.901493055557</v>
      </c>
      <c r="E907" t="s">
        <v>179</v>
      </c>
      <c r="F907">
        <v>150</v>
      </c>
      <c r="G907" s="3">
        <v>1</v>
      </c>
      <c r="H907">
        <v>1716</v>
      </c>
      <c r="I907" t="s">
        <v>181</v>
      </c>
      <c r="J907">
        <v>7</v>
      </c>
      <c r="K907">
        <v>7</v>
      </c>
      <c r="L907">
        <v>14</v>
      </c>
      <c r="M907">
        <v>14</v>
      </c>
    </row>
    <row r="908" spans="1:13" x14ac:dyDescent="0.25">
      <c r="A908">
        <v>907</v>
      </c>
      <c r="B908">
        <v>57</v>
      </c>
      <c r="C908">
        <v>18</v>
      </c>
      <c r="D908" s="2">
        <v>42481.828738425924</v>
      </c>
      <c r="E908" t="s">
        <v>179</v>
      </c>
      <c r="F908">
        <v>270</v>
      </c>
      <c r="G908" s="3">
        <v>2</v>
      </c>
      <c r="H908">
        <v>1623</v>
      </c>
      <c r="I908" t="s">
        <v>181</v>
      </c>
      <c r="J908">
        <v>13</v>
      </c>
      <c r="K908">
        <v>17</v>
      </c>
      <c r="L908">
        <v>8</v>
      </c>
      <c r="M908">
        <v>4</v>
      </c>
    </row>
    <row r="909" spans="1:13" x14ac:dyDescent="0.25">
      <c r="A909">
        <v>908</v>
      </c>
      <c r="B909">
        <v>57</v>
      </c>
      <c r="C909">
        <v>12</v>
      </c>
      <c r="D909" s="2">
        <v>42483.715011574073</v>
      </c>
      <c r="E909" t="s">
        <v>179</v>
      </c>
      <c r="F909">
        <v>120</v>
      </c>
      <c r="G909" s="3">
        <v>3</v>
      </c>
      <c r="H909">
        <v>0</v>
      </c>
      <c r="I909" t="s">
        <v>180</v>
      </c>
      <c r="J909">
        <v>0</v>
      </c>
      <c r="K909">
        <v>0</v>
      </c>
      <c r="L909">
        <v>0</v>
      </c>
      <c r="M909">
        <v>0</v>
      </c>
    </row>
    <row r="910" spans="1:13" x14ac:dyDescent="0.25">
      <c r="A910">
        <v>909</v>
      </c>
      <c r="B910">
        <v>57</v>
      </c>
      <c r="C910">
        <v>11</v>
      </c>
      <c r="D910" s="2">
        <v>42485.926134259258</v>
      </c>
      <c r="E910" t="s">
        <v>179</v>
      </c>
      <c r="F910">
        <v>120</v>
      </c>
      <c r="G910" s="3">
        <v>4</v>
      </c>
      <c r="H910">
        <v>1761</v>
      </c>
      <c r="I910" t="s">
        <v>181</v>
      </c>
      <c r="J910">
        <v>0</v>
      </c>
      <c r="K910">
        <v>1</v>
      </c>
      <c r="L910">
        <v>21</v>
      </c>
      <c r="M910">
        <v>20</v>
      </c>
    </row>
    <row r="911" spans="1:13" x14ac:dyDescent="0.25">
      <c r="A911">
        <v>910</v>
      </c>
      <c r="B911">
        <v>57</v>
      </c>
      <c r="C911">
        <v>13</v>
      </c>
      <c r="D911" s="2">
        <v>42485.548993055556</v>
      </c>
      <c r="E911" t="s">
        <v>179</v>
      </c>
      <c r="F911">
        <v>180</v>
      </c>
      <c r="G911" s="3">
        <v>5</v>
      </c>
      <c r="H911">
        <v>0</v>
      </c>
      <c r="I911" t="s">
        <v>182</v>
      </c>
      <c r="J911">
        <v>0</v>
      </c>
      <c r="K911">
        <v>0</v>
      </c>
      <c r="L911">
        <v>0</v>
      </c>
      <c r="M911">
        <v>0</v>
      </c>
    </row>
    <row r="912" spans="1:13" x14ac:dyDescent="0.25">
      <c r="A912">
        <v>911</v>
      </c>
      <c r="B912">
        <v>57</v>
      </c>
      <c r="C912">
        <v>2</v>
      </c>
      <c r="D912" s="2">
        <v>42482.391921296294</v>
      </c>
      <c r="E912" t="s">
        <v>179</v>
      </c>
      <c r="F912">
        <v>120</v>
      </c>
      <c r="G912" s="3">
        <v>6</v>
      </c>
      <c r="H912">
        <v>1586</v>
      </c>
      <c r="I912" t="s">
        <v>181</v>
      </c>
      <c r="J912">
        <v>18</v>
      </c>
      <c r="K912">
        <v>11</v>
      </c>
      <c r="L912">
        <v>3</v>
      </c>
      <c r="M912">
        <v>10</v>
      </c>
    </row>
    <row r="913" spans="1:13" x14ac:dyDescent="0.25">
      <c r="A913">
        <v>912</v>
      </c>
      <c r="B913">
        <v>57</v>
      </c>
      <c r="C913">
        <v>15</v>
      </c>
      <c r="D913" s="2">
        <v>42487.000219907408</v>
      </c>
      <c r="E913" t="s">
        <v>179</v>
      </c>
      <c r="F913">
        <v>90</v>
      </c>
      <c r="G913" s="3">
        <v>7</v>
      </c>
      <c r="H913">
        <v>1718</v>
      </c>
      <c r="I913" t="s">
        <v>181</v>
      </c>
      <c r="J913">
        <v>6</v>
      </c>
      <c r="K913">
        <v>3</v>
      </c>
      <c r="L913">
        <v>15</v>
      </c>
      <c r="M913">
        <v>18</v>
      </c>
    </row>
    <row r="914" spans="1:13" x14ac:dyDescent="0.25">
      <c r="A914">
        <v>913</v>
      </c>
      <c r="B914">
        <v>57</v>
      </c>
      <c r="C914">
        <v>8</v>
      </c>
      <c r="D914" s="2">
        <v>42481.900173611109</v>
      </c>
      <c r="E914" t="s">
        <v>179</v>
      </c>
      <c r="F914">
        <v>90</v>
      </c>
      <c r="G914" s="3">
        <v>8</v>
      </c>
      <c r="H914">
        <v>1619</v>
      </c>
      <c r="I914" t="s">
        <v>181</v>
      </c>
      <c r="J914">
        <v>15</v>
      </c>
      <c r="K914">
        <v>8</v>
      </c>
      <c r="L914">
        <v>6</v>
      </c>
      <c r="M914">
        <v>13</v>
      </c>
    </row>
    <row r="915" spans="1:13" x14ac:dyDescent="0.25">
      <c r="A915">
        <v>914</v>
      </c>
      <c r="B915">
        <v>57</v>
      </c>
      <c r="C915">
        <v>23</v>
      </c>
      <c r="D915" s="2">
        <v>42485.508645833332</v>
      </c>
      <c r="E915" t="s">
        <v>179</v>
      </c>
      <c r="F915">
        <v>300</v>
      </c>
      <c r="G915" s="3">
        <v>9</v>
      </c>
      <c r="H915">
        <v>1691</v>
      </c>
      <c r="I915" t="s">
        <v>181</v>
      </c>
      <c r="J915">
        <v>10</v>
      </c>
      <c r="K915">
        <v>16</v>
      </c>
      <c r="L915">
        <v>11</v>
      </c>
      <c r="M915">
        <v>5</v>
      </c>
    </row>
    <row r="916" spans="1:13" x14ac:dyDescent="0.25">
      <c r="A916">
        <v>915</v>
      </c>
      <c r="B916">
        <v>57</v>
      </c>
      <c r="C916">
        <v>19</v>
      </c>
      <c r="D916" s="2">
        <v>42488.450277777774</v>
      </c>
      <c r="E916" t="s">
        <v>179</v>
      </c>
      <c r="F916">
        <v>270</v>
      </c>
      <c r="G916" s="3">
        <v>10</v>
      </c>
      <c r="H916">
        <v>1592</v>
      </c>
      <c r="I916" t="s">
        <v>181</v>
      </c>
      <c r="J916">
        <v>17</v>
      </c>
      <c r="K916">
        <v>20</v>
      </c>
      <c r="L916">
        <v>4</v>
      </c>
      <c r="M916">
        <v>1</v>
      </c>
    </row>
    <row r="917" spans="1:13" x14ac:dyDescent="0.25">
      <c r="A917">
        <v>916</v>
      </c>
      <c r="B917">
        <v>57</v>
      </c>
      <c r="C917">
        <v>22</v>
      </c>
      <c r="D917" s="2">
        <v>42484.319675925923</v>
      </c>
      <c r="E917" t="s">
        <v>179</v>
      </c>
      <c r="F917">
        <v>240</v>
      </c>
      <c r="G917" s="3">
        <v>11</v>
      </c>
      <c r="H917">
        <v>0</v>
      </c>
      <c r="I917" t="s">
        <v>182</v>
      </c>
      <c r="J917">
        <v>0</v>
      </c>
      <c r="K917">
        <v>0</v>
      </c>
      <c r="L917">
        <v>0</v>
      </c>
      <c r="M917">
        <v>0</v>
      </c>
    </row>
    <row r="918" spans="1:13" x14ac:dyDescent="0.25">
      <c r="A918">
        <v>917</v>
      </c>
      <c r="B918">
        <v>57</v>
      </c>
      <c r="C918">
        <v>9</v>
      </c>
      <c r="D918" s="2">
        <v>42487.747395833336</v>
      </c>
      <c r="E918" t="s">
        <v>179</v>
      </c>
      <c r="F918">
        <v>150</v>
      </c>
      <c r="G918" s="3">
        <v>12</v>
      </c>
      <c r="H918">
        <v>1752</v>
      </c>
      <c r="I918" t="s">
        <v>181</v>
      </c>
      <c r="J918">
        <v>1</v>
      </c>
      <c r="K918">
        <v>4</v>
      </c>
      <c r="L918">
        <v>20</v>
      </c>
      <c r="M918">
        <v>17</v>
      </c>
    </row>
    <row r="919" spans="1:13" x14ac:dyDescent="0.25">
      <c r="A919">
        <v>918</v>
      </c>
      <c r="B919">
        <v>57</v>
      </c>
      <c r="C919">
        <v>28</v>
      </c>
      <c r="D919" s="2">
        <v>42483.284618055557</v>
      </c>
      <c r="E919" t="s">
        <v>179</v>
      </c>
      <c r="F919">
        <v>120</v>
      </c>
      <c r="G919" s="3">
        <v>13</v>
      </c>
      <c r="H919">
        <v>1573</v>
      </c>
      <c r="I919" t="s">
        <v>181</v>
      </c>
      <c r="J919">
        <v>20</v>
      </c>
      <c r="K919">
        <v>12</v>
      </c>
      <c r="L919">
        <v>1</v>
      </c>
      <c r="M919">
        <v>9</v>
      </c>
    </row>
    <row r="920" spans="1:13" x14ac:dyDescent="0.25">
      <c r="A920">
        <v>919</v>
      </c>
      <c r="B920">
        <v>57</v>
      </c>
      <c r="C920">
        <v>31</v>
      </c>
      <c r="D920" s="2">
        <v>42488.560729166667</v>
      </c>
      <c r="E920" t="s">
        <v>179</v>
      </c>
      <c r="F920">
        <v>120</v>
      </c>
      <c r="G920" s="3">
        <v>14</v>
      </c>
      <c r="H920">
        <v>1627</v>
      </c>
      <c r="I920" t="s">
        <v>181</v>
      </c>
      <c r="J920">
        <v>12</v>
      </c>
      <c r="K920">
        <v>10</v>
      </c>
      <c r="L920">
        <v>9</v>
      </c>
      <c r="M920">
        <v>11</v>
      </c>
    </row>
    <row r="921" spans="1:13" x14ac:dyDescent="0.25">
      <c r="A921">
        <v>920</v>
      </c>
      <c r="B921">
        <v>57</v>
      </c>
      <c r="C921">
        <v>25</v>
      </c>
      <c r="D921" s="2">
        <v>42485.805775462963</v>
      </c>
      <c r="E921" t="s">
        <v>179</v>
      </c>
      <c r="F921">
        <v>180</v>
      </c>
      <c r="G921" s="3">
        <v>15</v>
      </c>
      <c r="H921">
        <v>1619</v>
      </c>
      <c r="I921" t="s">
        <v>181</v>
      </c>
      <c r="J921">
        <v>15</v>
      </c>
      <c r="K921">
        <v>14</v>
      </c>
      <c r="L921">
        <v>6</v>
      </c>
      <c r="M921">
        <v>7</v>
      </c>
    </row>
    <row r="922" spans="1:13" x14ac:dyDescent="0.25">
      <c r="A922">
        <v>921</v>
      </c>
      <c r="B922">
        <v>57</v>
      </c>
      <c r="C922">
        <v>21</v>
      </c>
      <c r="D922" s="2">
        <v>42487.373553240737</v>
      </c>
      <c r="E922" t="s">
        <v>179</v>
      </c>
      <c r="F922">
        <v>150</v>
      </c>
      <c r="G922" s="3">
        <v>16</v>
      </c>
      <c r="H922">
        <v>0</v>
      </c>
      <c r="I922" t="s">
        <v>180</v>
      </c>
      <c r="J922">
        <v>0</v>
      </c>
      <c r="K922">
        <v>0</v>
      </c>
      <c r="L922">
        <v>0</v>
      </c>
      <c r="M922">
        <v>0</v>
      </c>
    </row>
    <row r="923" spans="1:13" x14ac:dyDescent="0.25">
      <c r="A923">
        <v>922</v>
      </c>
      <c r="B923">
        <v>57</v>
      </c>
      <c r="C923">
        <v>10</v>
      </c>
      <c r="D923" s="2">
        <v>42486.55809027778</v>
      </c>
      <c r="E923" t="s">
        <v>179</v>
      </c>
      <c r="F923">
        <v>270</v>
      </c>
      <c r="G923" s="3">
        <v>17</v>
      </c>
      <c r="H923">
        <v>1604</v>
      </c>
      <c r="I923" t="s">
        <v>181</v>
      </c>
      <c r="J923">
        <v>16</v>
      </c>
      <c r="K923">
        <v>19</v>
      </c>
      <c r="L923">
        <v>5</v>
      </c>
      <c r="M923">
        <v>2</v>
      </c>
    </row>
    <row r="924" spans="1:13" x14ac:dyDescent="0.25">
      <c r="A924">
        <v>923</v>
      </c>
      <c r="B924">
        <v>57</v>
      </c>
      <c r="C924">
        <v>26</v>
      </c>
      <c r="D924" s="2">
        <v>42483.831388888888</v>
      </c>
      <c r="E924" t="s">
        <v>179</v>
      </c>
      <c r="F924">
        <v>240</v>
      </c>
      <c r="G924" s="3">
        <v>18</v>
      </c>
      <c r="H924">
        <v>1584</v>
      </c>
      <c r="I924" t="s">
        <v>181</v>
      </c>
      <c r="J924">
        <v>19</v>
      </c>
      <c r="K924">
        <v>18</v>
      </c>
      <c r="L924">
        <v>2</v>
      </c>
      <c r="M924">
        <v>3</v>
      </c>
    </row>
    <row r="925" spans="1:13" x14ac:dyDescent="0.25">
      <c r="A925">
        <v>924</v>
      </c>
      <c r="B925">
        <v>57</v>
      </c>
      <c r="C925">
        <v>1</v>
      </c>
      <c r="D925" s="2">
        <v>42485.771851851852</v>
      </c>
      <c r="E925" t="s">
        <v>179</v>
      </c>
      <c r="F925">
        <v>90</v>
      </c>
      <c r="G925" s="3">
        <v>19</v>
      </c>
      <c r="H925">
        <v>0</v>
      </c>
      <c r="I925" t="s">
        <v>182</v>
      </c>
      <c r="J925">
        <v>0</v>
      </c>
      <c r="K925">
        <v>0</v>
      </c>
      <c r="L925">
        <v>0</v>
      </c>
      <c r="M925">
        <v>0</v>
      </c>
    </row>
    <row r="926" spans="1:13" x14ac:dyDescent="0.25">
      <c r="A926">
        <v>925</v>
      </c>
      <c r="B926">
        <v>57</v>
      </c>
      <c r="C926">
        <v>17</v>
      </c>
      <c r="D926" s="2">
        <v>42481.791041666664</v>
      </c>
      <c r="E926" t="s">
        <v>179</v>
      </c>
      <c r="F926">
        <v>0</v>
      </c>
      <c r="G926" s="3">
        <v>20</v>
      </c>
      <c r="H926">
        <v>1681</v>
      </c>
      <c r="I926" t="s">
        <v>181</v>
      </c>
      <c r="J926">
        <v>11</v>
      </c>
      <c r="K926">
        <v>0</v>
      </c>
      <c r="L926">
        <v>10</v>
      </c>
      <c r="M926">
        <v>22</v>
      </c>
    </row>
    <row r="927" spans="1:13" x14ac:dyDescent="0.25">
      <c r="A927">
        <v>926</v>
      </c>
      <c r="B927">
        <v>57</v>
      </c>
      <c r="C927">
        <v>16</v>
      </c>
      <c r="D927" s="2">
        <v>42481.00949074074</v>
      </c>
      <c r="E927" t="s">
        <v>179</v>
      </c>
      <c r="F927">
        <v>90</v>
      </c>
      <c r="G927" s="3">
        <v>21</v>
      </c>
      <c r="H927">
        <v>1728</v>
      </c>
      <c r="I927" t="s">
        <v>181</v>
      </c>
      <c r="J927">
        <v>4</v>
      </c>
      <c r="K927">
        <v>2</v>
      </c>
      <c r="L927">
        <v>17</v>
      </c>
      <c r="M927">
        <v>19</v>
      </c>
    </row>
    <row r="928" spans="1:13" x14ac:dyDescent="0.25">
      <c r="A928">
        <v>927</v>
      </c>
      <c r="B928">
        <v>57</v>
      </c>
      <c r="C928">
        <v>4</v>
      </c>
      <c r="D928" s="2">
        <v>42488.310590277775</v>
      </c>
      <c r="E928" t="s">
        <v>179</v>
      </c>
      <c r="F928">
        <v>270</v>
      </c>
      <c r="G928" s="3">
        <v>22</v>
      </c>
      <c r="H928">
        <v>1714</v>
      </c>
      <c r="I928" t="s">
        <v>181</v>
      </c>
      <c r="J928">
        <v>8</v>
      </c>
      <c r="K928">
        <v>13</v>
      </c>
      <c r="L928">
        <v>13</v>
      </c>
      <c r="M928">
        <v>8</v>
      </c>
    </row>
    <row r="929" spans="1:13" x14ac:dyDescent="0.25">
      <c r="A929">
        <v>928</v>
      </c>
      <c r="B929">
        <v>57</v>
      </c>
      <c r="C929">
        <v>30</v>
      </c>
      <c r="D929" s="2">
        <v>42487.55940972222</v>
      </c>
      <c r="E929" t="s">
        <v>179</v>
      </c>
      <c r="F929">
        <v>30</v>
      </c>
      <c r="G929" s="3">
        <v>23</v>
      </c>
      <c r="H929">
        <v>1701</v>
      </c>
      <c r="I929" t="s">
        <v>181</v>
      </c>
      <c r="J929">
        <v>9</v>
      </c>
      <c r="K929">
        <v>0</v>
      </c>
      <c r="L929">
        <v>12</v>
      </c>
      <c r="M929">
        <v>21</v>
      </c>
    </row>
    <row r="930" spans="1:13" x14ac:dyDescent="0.25">
      <c r="A930">
        <v>929</v>
      </c>
      <c r="B930">
        <v>57</v>
      </c>
      <c r="C930">
        <v>6</v>
      </c>
      <c r="D930" s="2">
        <v>42487.818136574075</v>
      </c>
      <c r="E930" t="s">
        <v>179</v>
      </c>
      <c r="F930">
        <v>180</v>
      </c>
      <c r="G930" s="3">
        <v>24</v>
      </c>
      <c r="H930">
        <v>1748</v>
      </c>
      <c r="I930" t="s">
        <v>181</v>
      </c>
      <c r="J930">
        <v>2</v>
      </c>
      <c r="K930">
        <v>6</v>
      </c>
      <c r="L930">
        <v>19</v>
      </c>
      <c r="M930">
        <v>15</v>
      </c>
    </row>
    <row r="931" spans="1:13" x14ac:dyDescent="0.25">
      <c r="A931">
        <v>930</v>
      </c>
      <c r="B931">
        <v>57</v>
      </c>
      <c r="C931">
        <v>3</v>
      </c>
      <c r="D931" s="2">
        <v>42486.078263888892</v>
      </c>
      <c r="E931" t="s">
        <v>179</v>
      </c>
      <c r="F931">
        <v>300</v>
      </c>
      <c r="G931" s="3">
        <v>25</v>
      </c>
      <c r="H931">
        <v>1734</v>
      </c>
      <c r="I931" t="s">
        <v>181</v>
      </c>
      <c r="J931">
        <v>3</v>
      </c>
      <c r="K931">
        <v>15</v>
      </c>
      <c r="L931">
        <v>18</v>
      </c>
      <c r="M931">
        <v>6</v>
      </c>
    </row>
    <row r="932" spans="1:13" x14ac:dyDescent="0.25">
      <c r="A932">
        <v>931</v>
      </c>
      <c r="B932">
        <v>57</v>
      </c>
      <c r="C932">
        <v>7</v>
      </c>
      <c r="D932" s="2">
        <v>42485.326574074075</v>
      </c>
      <c r="E932" t="s">
        <v>179</v>
      </c>
      <c r="F932">
        <v>150</v>
      </c>
      <c r="G932" s="3">
        <v>26</v>
      </c>
      <c r="H932">
        <v>1720</v>
      </c>
      <c r="I932" t="s">
        <v>181</v>
      </c>
      <c r="J932">
        <v>5</v>
      </c>
      <c r="K932">
        <v>5</v>
      </c>
      <c r="L932">
        <v>16</v>
      </c>
      <c r="M932">
        <v>16</v>
      </c>
    </row>
    <row r="933" spans="1:13" x14ac:dyDescent="0.25">
      <c r="A933">
        <v>932</v>
      </c>
      <c r="B933">
        <v>57</v>
      </c>
      <c r="C933">
        <v>27</v>
      </c>
      <c r="D933" s="2">
        <v>42484.545023148145</v>
      </c>
      <c r="E933" t="s">
        <v>179</v>
      </c>
      <c r="F933">
        <v>240</v>
      </c>
      <c r="G933" s="3">
        <v>27</v>
      </c>
      <c r="H933">
        <v>1768</v>
      </c>
      <c r="I933" t="s">
        <v>181</v>
      </c>
      <c r="J933">
        <v>0</v>
      </c>
      <c r="K933">
        <v>9</v>
      </c>
      <c r="L933">
        <v>22</v>
      </c>
      <c r="M933">
        <v>12</v>
      </c>
    </row>
    <row r="934" spans="1:13" x14ac:dyDescent="0.25">
      <c r="A934">
        <v>933</v>
      </c>
      <c r="B934">
        <v>58</v>
      </c>
      <c r="C934">
        <v>11</v>
      </c>
      <c r="D934" s="2">
        <v>42492.894131944442</v>
      </c>
      <c r="E934" t="s">
        <v>179</v>
      </c>
      <c r="F934">
        <v>270</v>
      </c>
      <c r="G934" s="3">
        <v>1</v>
      </c>
      <c r="H934">
        <v>2063</v>
      </c>
      <c r="I934" t="s">
        <v>181</v>
      </c>
      <c r="J934">
        <v>18</v>
      </c>
      <c r="K934">
        <v>19</v>
      </c>
      <c r="L934">
        <v>3</v>
      </c>
      <c r="M934">
        <v>2</v>
      </c>
    </row>
    <row r="935" spans="1:13" x14ac:dyDescent="0.25">
      <c r="A935">
        <v>934</v>
      </c>
      <c r="B935">
        <v>58</v>
      </c>
      <c r="C935">
        <v>30</v>
      </c>
      <c r="D935" s="2">
        <v>42491.195219907408</v>
      </c>
      <c r="E935" t="s">
        <v>179</v>
      </c>
      <c r="F935">
        <v>0</v>
      </c>
      <c r="G935" s="3">
        <v>2</v>
      </c>
      <c r="H935">
        <v>2046</v>
      </c>
      <c r="I935" t="s">
        <v>181</v>
      </c>
      <c r="J935">
        <v>19</v>
      </c>
      <c r="K935">
        <v>8</v>
      </c>
      <c r="L935">
        <v>2</v>
      </c>
      <c r="M935">
        <v>13</v>
      </c>
    </row>
    <row r="936" spans="1:13" x14ac:dyDescent="0.25">
      <c r="A936">
        <v>935</v>
      </c>
      <c r="B936">
        <v>58</v>
      </c>
      <c r="C936">
        <v>9</v>
      </c>
      <c r="D936" s="2">
        <v>42490.455150462964</v>
      </c>
      <c r="E936" t="s">
        <v>179</v>
      </c>
      <c r="F936">
        <v>180</v>
      </c>
      <c r="G936" s="3">
        <v>3</v>
      </c>
      <c r="H936">
        <v>2104</v>
      </c>
      <c r="I936" t="s">
        <v>181</v>
      </c>
      <c r="J936">
        <v>14</v>
      </c>
      <c r="K936">
        <v>14</v>
      </c>
      <c r="L936">
        <v>7</v>
      </c>
      <c r="M936">
        <v>7</v>
      </c>
    </row>
    <row r="937" spans="1:13" x14ac:dyDescent="0.25">
      <c r="A937">
        <v>936</v>
      </c>
      <c r="B937">
        <v>58</v>
      </c>
      <c r="C937">
        <v>26</v>
      </c>
      <c r="D937" s="2">
        <v>42490.67291666667</v>
      </c>
      <c r="E937" t="s">
        <v>179</v>
      </c>
      <c r="F937">
        <v>300</v>
      </c>
      <c r="G937" s="3">
        <v>4</v>
      </c>
      <c r="H937">
        <v>2087</v>
      </c>
      <c r="I937" t="s">
        <v>181</v>
      </c>
      <c r="J937">
        <v>16</v>
      </c>
      <c r="K937">
        <v>20</v>
      </c>
      <c r="L937">
        <v>5</v>
      </c>
      <c r="M937">
        <v>1</v>
      </c>
    </row>
    <row r="938" spans="1:13" x14ac:dyDescent="0.25">
      <c r="A938">
        <v>937</v>
      </c>
      <c r="B938">
        <v>58</v>
      </c>
      <c r="C938">
        <v>12</v>
      </c>
      <c r="D938" s="2">
        <v>42489.9219212963</v>
      </c>
      <c r="E938" t="s">
        <v>179</v>
      </c>
      <c r="F938">
        <v>120</v>
      </c>
      <c r="G938" s="3">
        <v>5</v>
      </c>
      <c r="H938">
        <v>2070</v>
      </c>
      <c r="I938" t="s">
        <v>181</v>
      </c>
      <c r="J938">
        <v>17</v>
      </c>
      <c r="K938">
        <v>12</v>
      </c>
      <c r="L938">
        <v>4</v>
      </c>
      <c r="M938">
        <v>9</v>
      </c>
    </row>
    <row r="939" spans="1:13" x14ac:dyDescent="0.25">
      <c r="A939">
        <v>938</v>
      </c>
      <c r="B939">
        <v>58</v>
      </c>
      <c r="C939">
        <v>7</v>
      </c>
      <c r="D939" s="2">
        <v>42488.181342592594</v>
      </c>
      <c r="E939" t="s">
        <v>179</v>
      </c>
      <c r="F939">
        <v>240</v>
      </c>
      <c r="G939" s="3">
        <v>6</v>
      </c>
      <c r="H939">
        <v>2128</v>
      </c>
      <c r="I939" t="s">
        <v>181</v>
      </c>
      <c r="J939">
        <v>10</v>
      </c>
      <c r="K939">
        <v>15</v>
      </c>
      <c r="L939">
        <v>11</v>
      </c>
      <c r="M939">
        <v>6</v>
      </c>
    </row>
    <row r="940" spans="1:13" x14ac:dyDescent="0.25">
      <c r="A940">
        <v>939</v>
      </c>
      <c r="B940">
        <v>58</v>
      </c>
      <c r="C940">
        <v>4</v>
      </c>
      <c r="D940" s="2">
        <v>42488.440775462965</v>
      </c>
      <c r="E940" t="s">
        <v>179</v>
      </c>
      <c r="F940">
        <v>90</v>
      </c>
      <c r="G940" s="3">
        <v>7</v>
      </c>
      <c r="H940">
        <v>2111</v>
      </c>
      <c r="I940" t="s">
        <v>181</v>
      </c>
      <c r="J940">
        <v>13</v>
      </c>
      <c r="K940">
        <v>9</v>
      </c>
      <c r="L940">
        <v>8</v>
      </c>
      <c r="M940">
        <v>12</v>
      </c>
    </row>
    <row r="941" spans="1:13" x14ac:dyDescent="0.25">
      <c r="A941">
        <v>940</v>
      </c>
      <c r="B941">
        <v>58</v>
      </c>
      <c r="C941">
        <v>19</v>
      </c>
      <c r="D941" s="2">
        <v>42495.991863425923</v>
      </c>
      <c r="E941" t="s">
        <v>179</v>
      </c>
      <c r="F941">
        <v>150</v>
      </c>
      <c r="G941" s="3">
        <v>8</v>
      </c>
      <c r="H941">
        <v>2094</v>
      </c>
      <c r="I941" t="s">
        <v>181</v>
      </c>
      <c r="J941">
        <v>15</v>
      </c>
      <c r="K941">
        <v>13</v>
      </c>
      <c r="L941">
        <v>6</v>
      </c>
      <c r="M941">
        <v>8</v>
      </c>
    </row>
    <row r="942" spans="1:13" x14ac:dyDescent="0.25">
      <c r="A942">
        <v>941</v>
      </c>
      <c r="B942">
        <v>58</v>
      </c>
      <c r="C942">
        <v>25</v>
      </c>
      <c r="D942" s="2">
        <v>42494.240879629629</v>
      </c>
      <c r="E942" t="s">
        <v>179</v>
      </c>
      <c r="F942">
        <v>30</v>
      </c>
      <c r="G942" s="3">
        <v>9</v>
      </c>
      <c r="H942">
        <v>2152</v>
      </c>
      <c r="I942" t="s">
        <v>181</v>
      </c>
      <c r="J942">
        <v>7</v>
      </c>
      <c r="K942">
        <v>7</v>
      </c>
      <c r="L942">
        <v>14</v>
      </c>
      <c r="M942">
        <v>14</v>
      </c>
    </row>
    <row r="943" spans="1:13" x14ac:dyDescent="0.25">
      <c r="A943">
        <v>942</v>
      </c>
      <c r="B943">
        <v>58</v>
      </c>
      <c r="C943">
        <v>22</v>
      </c>
      <c r="D943" s="2">
        <v>42491.458449074074</v>
      </c>
      <c r="E943" t="s">
        <v>179</v>
      </c>
      <c r="F943">
        <v>120</v>
      </c>
      <c r="G943" s="3">
        <v>10</v>
      </c>
      <c r="H943">
        <v>2135</v>
      </c>
      <c r="I943" t="s">
        <v>181</v>
      </c>
      <c r="J943">
        <v>9</v>
      </c>
      <c r="K943">
        <v>10</v>
      </c>
      <c r="L943">
        <v>12</v>
      </c>
      <c r="M943">
        <v>11</v>
      </c>
    </row>
    <row r="944" spans="1:13" x14ac:dyDescent="0.25">
      <c r="A944">
        <v>943</v>
      </c>
      <c r="B944">
        <v>58</v>
      </c>
      <c r="C944">
        <v>10</v>
      </c>
      <c r="D944" s="2">
        <v>42491.718564814815</v>
      </c>
      <c r="E944" t="s">
        <v>179</v>
      </c>
      <c r="F944">
        <v>300</v>
      </c>
      <c r="G944" s="3">
        <v>11</v>
      </c>
      <c r="H944">
        <v>2118</v>
      </c>
      <c r="I944" t="s">
        <v>181</v>
      </c>
      <c r="J944">
        <v>11</v>
      </c>
      <c r="K944">
        <v>18</v>
      </c>
      <c r="L944">
        <v>10</v>
      </c>
      <c r="M944">
        <v>3</v>
      </c>
    </row>
    <row r="945" spans="1:13" x14ac:dyDescent="0.25">
      <c r="A945">
        <v>944</v>
      </c>
      <c r="B945">
        <v>58</v>
      </c>
      <c r="C945">
        <v>21</v>
      </c>
      <c r="D945" s="2">
        <v>42490.966886574075</v>
      </c>
      <c r="E945" t="s">
        <v>179</v>
      </c>
      <c r="F945">
        <v>60</v>
      </c>
      <c r="G945" s="3">
        <v>12</v>
      </c>
      <c r="H945">
        <v>1894</v>
      </c>
      <c r="I945" t="s">
        <v>181</v>
      </c>
      <c r="J945">
        <v>20</v>
      </c>
      <c r="K945">
        <v>17</v>
      </c>
      <c r="L945">
        <v>1</v>
      </c>
      <c r="M945">
        <v>4</v>
      </c>
    </row>
    <row r="946" spans="1:13" x14ac:dyDescent="0.25">
      <c r="A946">
        <v>945</v>
      </c>
      <c r="B946">
        <v>58</v>
      </c>
      <c r="C946">
        <v>23</v>
      </c>
      <c r="D946" s="2">
        <v>42489.26866898148</v>
      </c>
      <c r="E946" t="s">
        <v>179</v>
      </c>
      <c r="F946">
        <v>240</v>
      </c>
      <c r="G946" s="3">
        <v>13</v>
      </c>
      <c r="H946">
        <v>0</v>
      </c>
      <c r="I946" t="s">
        <v>180</v>
      </c>
      <c r="J946">
        <v>0</v>
      </c>
      <c r="K946">
        <v>0</v>
      </c>
      <c r="L946">
        <v>0</v>
      </c>
      <c r="M946">
        <v>0</v>
      </c>
    </row>
    <row r="947" spans="1:13" x14ac:dyDescent="0.25">
      <c r="A947">
        <v>946</v>
      </c>
      <c r="B947">
        <v>58</v>
      </c>
      <c r="C947">
        <v>8</v>
      </c>
      <c r="D947" s="2">
        <v>42491.005902777775</v>
      </c>
      <c r="E947" t="s">
        <v>179</v>
      </c>
      <c r="F947">
        <v>180</v>
      </c>
      <c r="G947" s="3">
        <v>14</v>
      </c>
      <c r="H947">
        <v>2148</v>
      </c>
      <c r="I947" t="s">
        <v>181</v>
      </c>
      <c r="J947">
        <v>8</v>
      </c>
      <c r="K947">
        <v>11</v>
      </c>
      <c r="L947">
        <v>13</v>
      </c>
      <c r="M947">
        <v>10</v>
      </c>
    </row>
    <row r="948" spans="1:13" x14ac:dyDescent="0.25">
      <c r="A948">
        <v>947</v>
      </c>
      <c r="B948">
        <v>58</v>
      </c>
      <c r="C948">
        <v>24</v>
      </c>
      <c r="D948" s="2">
        <v>42495.960949074077</v>
      </c>
      <c r="E948" t="s">
        <v>179</v>
      </c>
      <c r="F948">
        <v>270</v>
      </c>
      <c r="G948" s="3">
        <v>15</v>
      </c>
      <c r="H948">
        <v>2117</v>
      </c>
      <c r="I948" t="s">
        <v>181</v>
      </c>
      <c r="J948">
        <v>12</v>
      </c>
      <c r="K948">
        <v>16</v>
      </c>
      <c r="L948">
        <v>9</v>
      </c>
      <c r="M948">
        <v>5</v>
      </c>
    </row>
    <row r="949" spans="1:13" x14ac:dyDescent="0.25">
      <c r="A949">
        <v>948</v>
      </c>
      <c r="B949">
        <v>59</v>
      </c>
      <c r="C949">
        <v>22</v>
      </c>
      <c r="D949" s="2">
        <v>42500.627847222226</v>
      </c>
      <c r="E949" t="s">
        <v>179</v>
      </c>
      <c r="F949">
        <v>60</v>
      </c>
      <c r="G949" s="3">
        <v>1</v>
      </c>
      <c r="H949">
        <v>1760</v>
      </c>
      <c r="I949" t="s">
        <v>181</v>
      </c>
      <c r="J949">
        <v>13</v>
      </c>
      <c r="K949">
        <v>14</v>
      </c>
      <c r="L949">
        <v>8</v>
      </c>
      <c r="M949">
        <v>7</v>
      </c>
    </row>
    <row r="950" spans="1:13" x14ac:dyDescent="0.25">
      <c r="A950">
        <v>949</v>
      </c>
      <c r="B950">
        <v>59</v>
      </c>
      <c r="C950">
        <v>30</v>
      </c>
      <c r="D950" s="2">
        <v>42496.874548611115</v>
      </c>
      <c r="E950" t="s">
        <v>179</v>
      </c>
      <c r="F950">
        <v>150</v>
      </c>
      <c r="G950" s="3">
        <v>2</v>
      </c>
      <c r="H950">
        <v>0</v>
      </c>
      <c r="I950" t="s">
        <v>180</v>
      </c>
      <c r="J950">
        <v>0</v>
      </c>
      <c r="K950">
        <v>0</v>
      </c>
      <c r="L950">
        <v>0</v>
      </c>
      <c r="M950">
        <v>0</v>
      </c>
    </row>
    <row r="951" spans="1:13" x14ac:dyDescent="0.25">
      <c r="A951">
        <v>950</v>
      </c>
      <c r="B951">
        <v>59</v>
      </c>
      <c r="C951">
        <v>1</v>
      </c>
      <c r="D951" s="2">
        <v>42502.826944444445</v>
      </c>
      <c r="E951" t="s">
        <v>179</v>
      </c>
      <c r="F951">
        <v>300</v>
      </c>
      <c r="G951" s="3">
        <v>3</v>
      </c>
      <c r="H951">
        <v>1685</v>
      </c>
      <c r="I951" t="s">
        <v>181</v>
      </c>
      <c r="J951">
        <v>18</v>
      </c>
      <c r="K951">
        <v>19</v>
      </c>
      <c r="L951">
        <v>3</v>
      </c>
      <c r="M951">
        <v>2</v>
      </c>
    </row>
    <row r="952" spans="1:13" x14ac:dyDescent="0.25">
      <c r="A952">
        <v>951</v>
      </c>
      <c r="B952">
        <v>59</v>
      </c>
      <c r="C952">
        <v>3</v>
      </c>
      <c r="D952" s="2">
        <v>42496.726898148147</v>
      </c>
      <c r="E952" t="s">
        <v>179</v>
      </c>
      <c r="F952">
        <v>270</v>
      </c>
      <c r="G952" s="3">
        <v>4</v>
      </c>
      <c r="H952">
        <v>1586</v>
      </c>
      <c r="I952" t="s">
        <v>181</v>
      </c>
      <c r="J952">
        <v>20</v>
      </c>
      <c r="K952">
        <v>20</v>
      </c>
      <c r="L952">
        <v>1</v>
      </c>
      <c r="M952">
        <v>1</v>
      </c>
    </row>
    <row r="953" spans="1:13" x14ac:dyDescent="0.25">
      <c r="A953">
        <v>952</v>
      </c>
      <c r="B953">
        <v>59</v>
      </c>
      <c r="C953">
        <v>12</v>
      </c>
      <c r="D953" s="2">
        <v>42501.335381944446</v>
      </c>
      <c r="E953" t="s">
        <v>179</v>
      </c>
      <c r="F953">
        <v>240</v>
      </c>
      <c r="G953" s="3">
        <v>5</v>
      </c>
      <c r="H953">
        <v>1719</v>
      </c>
      <c r="I953" t="s">
        <v>181</v>
      </c>
      <c r="J953">
        <v>15</v>
      </c>
      <c r="K953">
        <v>17</v>
      </c>
      <c r="L953">
        <v>6</v>
      </c>
      <c r="M953">
        <v>4</v>
      </c>
    </row>
    <row r="954" spans="1:13" x14ac:dyDescent="0.25">
      <c r="A954">
        <v>953</v>
      </c>
      <c r="B954">
        <v>59</v>
      </c>
      <c r="C954">
        <v>26</v>
      </c>
      <c r="D954" s="2">
        <v>42495.245752314811</v>
      </c>
      <c r="E954" t="s">
        <v>179</v>
      </c>
      <c r="F954">
        <v>180</v>
      </c>
      <c r="G954" s="3">
        <v>6</v>
      </c>
      <c r="H954">
        <v>0</v>
      </c>
      <c r="I954" t="s">
        <v>180</v>
      </c>
      <c r="J954">
        <v>0</v>
      </c>
      <c r="K954">
        <v>0</v>
      </c>
      <c r="L954">
        <v>0</v>
      </c>
      <c r="M954">
        <v>0</v>
      </c>
    </row>
    <row r="955" spans="1:13" x14ac:dyDescent="0.25">
      <c r="A955">
        <v>954</v>
      </c>
      <c r="B955">
        <v>59</v>
      </c>
      <c r="C955">
        <v>5</v>
      </c>
      <c r="D955" s="2">
        <v>42502.357534722221</v>
      </c>
      <c r="E955" t="s">
        <v>179</v>
      </c>
      <c r="F955">
        <v>120</v>
      </c>
      <c r="G955" s="3">
        <v>7</v>
      </c>
      <c r="H955">
        <v>1690</v>
      </c>
      <c r="I955" t="s">
        <v>181</v>
      </c>
      <c r="J955">
        <v>17</v>
      </c>
      <c r="K955">
        <v>15</v>
      </c>
      <c r="L955">
        <v>4</v>
      </c>
      <c r="M955">
        <v>6</v>
      </c>
    </row>
    <row r="956" spans="1:13" x14ac:dyDescent="0.25">
      <c r="A956">
        <v>955</v>
      </c>
      <c r="B956">
        <v>59</v>
      </c>
      <c r="C956">
        <v>7</v>
      </c>
      <c r="D956" s="2">
        <v>42496.910925925928</v>
      </c>
      <c r="E956" t="s">
        <v>179</v>
      </c>
      <c r="F956">
        <v>0</v>
      </c>
      <c r="G956" s="3">
        <v>8</v>
      </c>
      <c r="H956">
        <v>1750</v>
      </c>
      <c r="I956" t="s">
        <v>181</v>
      </c>
      <c r="J956">
        <v>14</v>
      </c>
      <c r="K956">
        <v>13</v>
      </c>
      <c r="L956">
        <v>7</v>
      </c>
      <c r="M956">
        <v>8</v>
      </c>
    </row>
    <row r="957" spans="1:13" x14ac:dyDescent="0.25">
      <c r="A957">
        <v>956</v>
      </c>
      <c r="B957">
        <v>59</v>
      </c>
      <c r="C957">
        <v>21</v>
      </c>
      <c r="D957" s="2">
        <v>42497.475428240738</v>
      </c>
      <c r="E957" t="s">
        <v>179</v>
      </c>
      <c r="F957">
        <v>180</v>
      </c>
      <c r="G957" s="3">
        <v>9</v>
      </c>
      <c r="H957">
        <v>1639</v>
      </c>
      <c r="I957" t="s">
        <v>181</v>
      </c>
      <c r="J957">
        <v>19</v>
      </c>
      <c r="K957">
        <v>18</v>
      </c>
      <c r="L957">
        <v>2</v>
      </c>
      <c r="M957">
        <v>3</v>
      </c>
    </row>
    <row r="958" spans="1:13" x14ac:dyDescent="0.25">
      <c r="A958">
        <v>957</v>
      </c>
      <c r="B958">
        <v>59</v>
      </c>
      <c r="C958">
        <v>9</v>
      </c>
      <c r="D958" s="2">
        <v>42499.778645833336</v>
      </c>
      <c r="E958" t="s">
        <v>179</v>
      </c>
      <c r="F958">
        <v>150</v>
      </c>
      <c r="G958" s="3">
        <v>10</v>
      </c>
      <c r="H958">
        <v>1698</v>
      </c>
      <c r="I958" t="s">
        <v>181</v>
      </c>
      <c r="J958">
        <v>16</v>
      </c>
      <c r="K958">
        <v>16</v>
      </c>
      <c r="L958">
        <v>5</v>
      </c>
      <c r="M958">
        <v>5</v>
      </c>
    </row>
    <row r="959" spans="1:13" x14ac:dyDescent="0.25">
      <c r="A959">
        <v>958</v>
      </c>
      <c r="B959">
        <v>60</v>
      </c>
      <c r="C959">
        <v>28</v>
      </c>
      <c r="D959" s="2">
        <v>42505.965312499997</v>
      </c>
      <c r="E959" t="s">
        <v>179</v>
      </c>
      <c r="F959">
        <v>120</v>
      </c>
      <c r="G959" s="3">
        <v>1</v>
      </c>
      <c r="H959">
        <v>0</v>
      </c>
      <c r="I959" t="s">
        <v>180</v>
      </c>
      <c r="J959">
        <v>0</v>
      </c>
      <c r="K959">
        <v>0</v>
      </c>
      <c r="L959">
        <v>0</v>
      </c>
      <c r="M959">
        <v>0</v>
      </c>
    </row>
    <row r="960" spans="1:13" x14ac:dyDescent="0.25">
      <c r="A960">
        <v>959</v>
      </c>
      <c r="B960">
        <v>60</v>
      </c>
      <c r="C960">
        <v>15</v>
      </c>
      <c r="D960" s="2">
        <v>42508.237175925926</v>
      </c>
      <c r="E960" t="s">
        <v>179</v>
      </c>
      <c r="F960">
        <v>120</v>
      </c>
      <c r="G960" s="3">
        <v>2</v>
      </c>
      <c r="H960">
        <v>1781</v>
      </c>
      <c r="I960" t="s">
        <v>181</v>
      </c>
      <c r="J960">
        <v>14</v>
      </c>
      <c r="K960">
        <v>15</v>
      </c>
      <c r="L960">
        <v>7</v>
      </c>
      <c r="M960">
        <v>6</v>
      </c>
    </row>
    <row r="961" spans="1:13" x14ac:dyDescent="0.25">
      <c r="A961">
        <v>960</v>
      </c>
      <c r="B961">
        <v>60</v>
      </c>
      <c r="C961">
        <v>20</v>
      </c>
      <c r="D961" s="2">
        <v>42507.485486111109</v>
      </c>
      <c r="E961" t="s">
        <v>179</v>
      </c>
      <c r="F961">
        <v>0</v>
      </c>
      <c r="G961" s="3">
        <v>3</v>
      </c>
      <c r="H961">
        <v>0</v>
      </c>
      <c r="I961" t="s">
        <v>182</v>
      </c>
      <c r="J961">
        <v>0</v>
      </c>
      <c r="K961">
        <v>0</v>
      </c>
      <c r="L961">
        <v>0</v>
      </c>
      <c r="M961">
        <v>0</v>
      </c>
    </row>
    <row r="962" spans="1:13" x14ac:dyDescent="0.25">
      <c r="A962">
        <v>961</v>
      </c>
      <c r="B962">
        <v>60</v>
      </c>
      <c r="C962">
        <v>29</v>
      </c>
      <c r="D962" s="2">
        <v>42503.613796296297</v>
      </c>
      <c r="E962" t="s">
        <v>179</v>
      </c>
      <c r="F962">
        <v>180</v>
      </c>
      <c r="G962" s="3">
        <v>4</v>
      </c>
      <c r="H962">
        <v>1827</v>
      </c>
      <c r="I962" t="s">
        <v>181</v>
      </c>
      <c r="J962">
        <v>9</v>
      </c>
      <c r="K962">
        <v>16</v>
      </c>
      <c r="L962">
        <v>12</v>
      </c>
      <c r="M962">
        <v>5</v>
      </c>
    </row>
    <row r="963" spans="1:13" x14ac:dyDescent="0.25">
      <c r="A963">
        <v>962</v>
      </c>
      <c r="B963">
        <v>60</v>
      </c>
      <c r="C963">
        <v>6</v>
      </c>
      <c r="D963" s="2">
        <v>42505.540347222224</v>
      </c>
      <c r="E963" t="s">
        <v>179</v>
      </c>
      <c r="F963">
        <v>60</v>
      </c>
      <c r="G963" s="3">
        <v>5</v>
      </c>
      <c r="H963">
        <v>1724</v>
      </c>
      <c r="I963" t="s">
        <v>181</v>
      </c>
      <c r="J963">
        <v>20</v>
      </c>
      <c r="K963">
        <v>14</v>
      </c>
      <c r="L963">
        <v>1</v>
      </c>
      <c r="M963">
        <v>7</v>
      </c>
    </row>
    <row r="964" spans="1:13" x14ac:dyDescent="0.25">
      <c r="A964">
        <v>963</v>
      </c>
      <c r="B964">
        <v>60</v>
      </c>
      <c r="C964">
        <v>17</v>
      </c>
      <c r="D964" s="2">
        <v>42505.437731481485</v>
      </c>
      <c r="E964" t="s">
        <v>179</v>
      </c>
      <c r="F964">
        <v>270</v>
      </c>
      <c r="G964" s="3">
        <v>6</v>
      </c>
      <c r="H964">
        <v>1877</v>
      </c>
      <c r="I964" t="s">
        <v>181</v>
      </c>
      <c r="J964">
        <v>6</v>
      </c>
      <c r="K964">
        <v>17</v>
      </c>
      <c r="L964">
        <v>15</v>
      </c>
      <c r="M964">
        <v>4</v>
      </c>
    </row>
    <row r="965" spans="1:13" x14ac:dyDescent="0.25">
      <c r="A965">
        <v>964</v>
      </c>
      <c r="B965">
        <v>60</v>
      </c>
      <c r="C965">
        <v>24</v>
      </c>
      <c r="D965" s="2">
        <v>42504.364791666667</v>
      </c>
      <c r="E965" t="s">
        <v>179</v>
      </c>
      <c r="F965">
        <v>90</v>
      </c>
      <c r="G965" s="3">
        <v>7</v>
      </c>
      <c r="H965">
        <v>1774</v>
      </c>
      <c r="I965" t="s">
        <v>181</v>
      </c>
      <c r="J965">
        <v>16</v>
      </c>
      <c r="K965">
        <v>12</v>
      </c>
      <c r="L965">
        <v>5</v>
      </c>
      <c r="M965">
        <v>9</v>
      </c>
    </row>
    <row r="966" spans="1:13" x14ac:dyDescent="0.25">
      <c r="A966">
        <v>965</v>
      </c>
      <c r="B966">
        <v>60</v>
      </c>
      <c r="C966">
        <v>12</v>
      </c>
      <c r="D966" s="2">
        <v>42506.001064814816</v>
      </c>
      <c r="E966" t="s">
        <v>179</v>
      </c>
      <c r="F966">
        <v>240</v>
      </c>
      <c r="G966" s="3">
        <v>8</v>
      </c>
      <c r="H966">
        <v>1928</v>
      </c>
      <c r="I966" t="s">
        <v>181</v>
      </c>
      <c r="J966">
        <v>3</v>
      </c>
      <c r="K966">
        <v>10</v>
      </c>
      <c r="L966">
        <v>18</v>
      </c>
      <c r="M966">
        <v>11</v>
      </c>
    </row>
    <row r="967" spans="1:13" x14ac:dyDescent="0.25">
      <c r="A967">
        <v>966</v>
      </c>
      <c r="B967">
        <v>60</v>
      </c>
      <c r="C967">
        <v>27</v>
      </c>
      <c r="D967" s="2">
        <v>42505.928310185183</v>
      </c>
      <c r="E967" t="s">
        <v>179</v>
      </c>
      <c r="F967">
        <v>60</v>
      </c>
      <c r="G967" s="3">
        <v>9</v>
      </c>
      <c r="H967">
        <v>1893</v>
      </c>
      <c r="I967" t="s">
        <v>181</v>
      </c>
      <c r="J967">
        <v>5</v>
      </c>
      <c r="K967">
        <v>3</v>
      </c>
      <c r="L967">
        <v>16</v>
      </c>
      <c r="M967">
        <v>18</v>
      </c>
    </row>
    <row r="968" spans="1:13" x14ac:dyDescent="0.25">
      <c r="A968">
        <v>967</v>
      </c>
      <c r="B968">
        <v>60</v>
      </c>
      <c r="C968">
        <v>10</v>
      </c>
      <c r="D968" s="2">
        <v>42505.855370370373</v>
      </c>
      <c r="E968" t="s">
        <v>179</v>
      </c>
      <c r="F968">
        <v>270</v>
      </c>
      <c r="G968" s="3">
        <v>10</v>
      </c>
      <c r="H968">
        <v>1790</v>
      </c>
      <c r="I968" t="s">
        <v>181</v>
      </c>
      <c r="J968">
        <v>13</v>
      </c>
      <c r="K968">
        <v>19</v>
      </c>
      <c r="L968">
        <v>8</v>
      </c>
      <c r="M968">
        <v>2</v>
      </c>
    </row>
    <row r="969" spans="1:13" x14ac:dyDescent="0.25">
      <c r="A969">
        <v>968</v>
      </c>
      <c r="B969">
        <v>60</v>
      </c>
      <c r="C969">
        <v>25</v>
      </c>
      <c r="D969" s="2">
        <v>42506.783310185187</v>
      </c>
      <c r="E969" t="s">
        <v>179</v>
      </c>
      <c r="F969">
        <v>120</v>
      </c>
      <c r="G969" s="3">
        <v>11</v>
      </c>
      <c r="H969">
        <v>0</v>
      </c>
      <c r="I969" t="s">
        <v>180</v>
      </c>
      <c r="J969">
        <v>0</v>
      </c>
      <c r="K969">
        <v>0</v>
      </c>
      <c r="L969">
        <v>0</v>
      </c>
      <c r="M969">
        <v>0</v>
      </c>
    </row>
    <row r="970" spans="1:13" x14ac:dyDescent="0.25">
      <c r="A970">
        <v>969</v>
      </c>
      <c r="B970">
        <v>60</v>
      </c>
      <c r="C970">
        <v>8</v>
      </c>
      <c r="D970" s="2">
        <v>42509.940046296295</v>
      </c>
      <c r="E970" t="s">
        <v>179</v>
      </c>
      <c r="F970">
        <v>0</v>
      </c>
      <c r="G970" s="3">
        <v>12</v>
      </c>
      <c r="H970">
        <v>1861</v>
      </c>
      <c r="I970" t="s">
        <v>181</v>
      </c>
      <c r="J970">
        <v>7</v>
      </c>
      <c r="K970">
        <v>2</v>
      </c>
      <c r="L970">
        <v>14</v>
      </c>
      <c r="M970">
        <v>19</v>
      </c>
    </row>
    <row r="971" spans="1:13" x14ac:dyDescent="0.25">
      <c r="A971">
        <v>970</v>
      </c>
      <c r="B971">
        <v>60</v>
      </c>
      <c r="C971">
        <v>5</v>
      </c>
      <c r="D971" s="2">
        <v>42506.520543981482</v>
      </c>
      <c r="E971" t="s">
        <v>179</v>
      </c>
      <c r="F971">
        <v>60</v>
      </c>
      <c r="G971" s="3">
        <v>13</v>
      </c>
      <c r="H971">
        <v>1933</v>
      </c>
      <c r="I971" t="s">
        <v>181</v>
      </c>
      <c r="J971">
        <v>1</v>
      </c>
      <c r="K971">
        <v>0</v>
      </c>
      <c r="L971">
        <v>20</v>
      </c>
      <c r="M971">
        <v>21</v>
      </c>
    </row>
    <row r="972" spans="1:13" x14ac:dyDescent="0.25">
      <c r="A972">
        <v>971</v>
      </c>
      <c r="B972">
        <v>60</v>
      </c>
      <c r="C972">
        <v>22</v>
      </c>
      <c r="D972" s="2">
        <v>42505.403819444444</v>
      </c>
      <c r="E972" t="s">
        <v>179</v>
      </c>
      <c r="F972">
        <v>150</v>
      </c>
      <c r="G972" s="3">
        <v>14</v>
      </c>
      <c r="H972">
        <v>0</v>
      </c>
      <c r="I972" t="s">
        <v>180</v>
      </c>
      <c r="J972">
        <v>0</v>
      </c>
      <c r="K972">
        <v>0</v>
      </c>
      <c r="L972">
        <v>0</v>
      </c>
      <c r="M972">
        <v>0</v>
      </c>
    </row>
    <row r="973" spans="1:13" x14ac:dyDescent="0.25">
      <c r="A973">
        <v>972</v>
      </c>
      <c r="B973">
        <v>60</v>
      </c>
      <c r="C973">
        <v>26</v>
      </c>
      <c r="D973" s="2">
        <v>42505.98159722222</v>
      </c>
      <c r="E973" t="s">
        <v>179</v>
      </c>
      <c r="F973">
        <v>30</v>
      </c>
      <c r="G973" s="3">
        <v>15</v>
      </c>
      <c r="H973">
        <v>1746</v>
      </c>
      <c r="I973" t="s">
        <v>181</v>
      </c>
      <c r="J973">
        <v>19</v>
      </c>
      <c r="K973">
        <v>8</v>
      </c>
      <c r="L973">
        <v>2</v>
      </c>
      <c r="M973">
        <v>13</v>
      </c>
    </row>
    <row r="974" spans="1:13" x14ac:dyDescent="0.25">
      <c r="A974">
        <v>973</v>
      </c>
      <c r="B974">
        <v>60</v>
      </c>
      <c r="C974">
        <v>14</v>
      </c>
      <c r="D974" s="2">
        <v>42509.226458333331</v>
      </c>
      <c r="E974" t="s">
        <v>179</v>
      </c>
      <c r="F974">
        <v>30</v>
      </c>
      <c r="G974" s="3">
        <v>16</v>
      </c>
      <c r="H974">
        <v>1805</v>
      </c>
      <c r="I974" t="s">
        <v>181</v>
      </c>
      <c r="J974">
        <v>11</v>
      </c>
      <c r="K974">
        <v>6</v>
      </c>
      <c r="L974">
        <v>10</v>
      </c>
      <c r="M974">
        <v>15</v>
      </c>
    </row>
    <row r="975" spans="1:13" x14ac:dyDescent="0.25">
      <c r="A975">
        <v>974</v>
      </c>
      <c r="B975">
        <v>60</v>
      </c>
      <c r="C975">
        <v>16</v>
      </c>
      <c r="D975" s="2">
        <v>42506.806041666663</v>
      </c>
      <c r="E975" t="s">
        <v>179</v>
      </c>
      <c r="F975">
        <v>90</v>
      </c>
      <c r="G975" s="3">
        <v>17</v>
      </c>
      <c r="H975">
        <v>1796</v>
      </c>
      <c r="I975" t="s">
        <v>181</v>
      </c>
      <c r="J975">
        <v>12</v>
      </c>
      <c r="K975">
        <v>9</v>
      </c>
      <c r="L975">
        <v>9</v>
      </c>
      <c r="M975">
        <v>12</v>
      </c>
    </row>
    <row r="976" spans="1:13" x14ac:dyDescent="0.25">
      <c r="A976">
        <v>975</v>
      </c>
      <c r="B976">
        <v>60</v>
      </c>
      <c r="C976">
        <v>30</v>
      </c>
      <c r="D976" s="2">
        <v>42503.081458333334</v>
      </c>
      <c r="E976" t="s">
        <v>179</v>
      </c>
      <c r="F976">
        <v>60</v>
      </c>
      <c r="G976" s="3">
        <v>18</v>
      </c>
      <c r="H976">
        <v>1856</v>
      </c>
      <c r="I976" t="s">
        <v>181</v>
      </c>
      <c r="J976">
        <v>8</v>
      </c>
      <c r="K976">
        <v>4</v>
      </c>
      <c r="L976">
        <v>13</v>
      </c>
      <c r="M976">
        <v>17</v>
      </c>
    </row>
    <row r="977" spans="1:13" x14ac:dyDescent="0.25">
      <c r="A977">
        <v>976</v>
      </c>
      <c r="B977">
        <v>60</v>
      </c>
      <c r="C977">
        <v>1</v>
      </c>
      <c r="D977" s="2">
        <v>42507.618171296293</v>
      </c>
      <c r="E977" t="s">
        <v>179</v>
      </c>
      <c r="F977">
        <v>30</v>
      </c>
      <c r="G977" s="3">
        <v>19</v>
      </c>
      <c r="H977">
        <v>0</v>
      </c>
      <c r="I977" t="s">
        <v>182</v>
      </c>
      <c r="J977">
        <v>0</v>
      </c>
      <c r="K977">
        <v>0</v>
      </c>
      <c r="L977">
        <v>0</v>
      </c>
      <c r="M977">
        <v>0</v>
      </c>
    </row>
    <row r="978" spans="1:13" x14ac:dyDescent="0.25">
      <c r="A978">
        <v>977</v>
      </c>
      <c r="B978">
        <v>60</v>
      </c>
      <c r="C978">
        <v>19</v>
      </c>
      <c r="D978" s="2">
        <v>42508.287824074076</v>
      </c>
      <c r="E978" t="s">
        <v>179</v>
      </c>
      <c r="F978">
        <v>240</v>
      </c>
      <c r="G978" s="3">
        <v>20</v>
      </c>
      <c r="H978">
        <v>0</v>
      </c>
      <c r="I978" t="s">
        <v>180</v>
      </c>
      <c r="J978">
        <v>0</v>
      </c>
      <c r="K978">
        <v>0</v>
      </c>
      <c r="L978">
        <v>0</v>
      </c>
      <c r="M978">
        <v>0</v>
      </c>
    </row>
    <row r="979" spans="1:13" x14ac:dyDescent="0.25">
      <c r="A979">
        <v>978</v>
      </c>
      <c r="B979">
        <v>60</v>
      </c>
      <c r="C979">
        <v>3</v>
      </c>
      <c r="D979" s="2">
        <v>42506.876967592594</v>
      </c>
      <c r="E979" t="s">
        <v>179</v>
      </c>
      <c r="F979">
        <v>120</v>
      </c>
      <c r="G979" s="3">
        <v>21</v>
      </c>
      <c r="H979">
        <v>0</v>
      </c>
      <c r="I979" t="s">
        <v>180</v>
      </c>
      <c r="J979">
        <v>0</v>
      </c>
      <c r="K979">
        <v>0</v>
      </c>
      <c r="L979">
        <v>0</v>
      </c>
      <c r="M979">
        <v>0</v>
      </c>
    </row>
    <row r="980" spans="1:13" x14ac:dyDescent="0.25">
      <c r="A980">
        <v>979</v>
      </c>
      <c r="B980">
        <v>60</v>
      </c>
      <c r="C980">
        <v>7</v>
      </c>
      <c r="D980" s="2">
        <v>42504.351481481484</v>
      </c>
      <c r="E980" t="s">
        <v>179</v>
      </c>
      <c r="F980">
        <v>0</v>
      </c>
      <c r="G980" s="3">
        <v>22</v>
      </c>
      <c r="H980">
        <v>1770</v>
      </c>
      <c r="I980" t="s">
        <v>181</v>
      </c>
      <c r="J980">
        <v>17</v>
      </c>
      <c r="K980">
        <v>7</v>
      </c>
      <c r="L980">
        <v>4</v>
      </c>
      <c r="M980">
        <v>14</v>
      </c>
    </row>
    <row r="981" spans="1:13" x14ac:dyDescent="0.25">
      <c r="A981">
        <v>980</v>
      </c>
      <c r="B981">
        <v>60</v>
      </c>
      <c r="C981">
        <v>2</v>
      </c>
      <c r="D981" s="2">
        <v>42509.264166666668</v>
      </c>
      <c r="E981" t="s">
        <v>179</v>
      </c>
      <c r="F981">
        <v>60</v>
      </c>
      <c r="G981" s="3">
        <v>23</v>
      </c>
      <c r="H981">
        <v>1930</v>
      </c>
      <c r="I981" t="s">
        <v>181</v>
      </c>
      <c r="J981">
        <v>2</v>
      </c>
      <c r="K981">
        <v>1</v>
      </c>
      <c r="L981">
        <v>19</v>
      </c>
      <c r="M981">
        <v>20</v>
      </c>
    </row>
    <row r="982" spans="1:13" x14ac:dyDescent="0.25">
      <c r="A982">
        <v>981</v>
      </c>
      <c r="B982">
        <v>60</v>
      </c>
      <c r="C982">
        <v>18</v>
      </c>
      <c r="D982" s="2">
        <v>42506.469201388885</v>
      </c>
      <c r="E982" t="s">
        <v>179</v>
      </c>
      <c r="F982">
        <v>120</v>
      </c>
      <c r="G982" s="3">
        <v>24</v>
      </c>
      <c r="H982">
        <v>1901</v>
      </c>
      <c r="I982" t="s">
        <v>181</v>
      </c>
      <c r="J982">
        <v>4</v>
      </c>
      <c r="K982">
        <v>5</v>
      </c>
      <c r="L982">
        <v>17</v>
      </c>
      <c r="M982">
        <v>16</v>
      </c>
    </row>
    <row r="983" spans="1:13" x14ac:dyDescent="0.25">
      <c r="A983">
        <v>982</v>
      </c>
      <c r="B983">
        <v>60</v>
      </c>
      <c r="C983">
        <v>31</v>
      </c>
      <c r="D983" s="2">
        <v>42505.42423611111</v>
      </c>
      <c r="E983" t="s">
        <v>179</v>
      </c>
      <c r="F983">
        <v>120</v>
      </c>
      <c r="G983" s="3">
        <v>25</v>
      </c>
      <c r="H983">
        <v>1805</v>
      </c>
      <c r="I983" t="s">
        <v>181</v>
      </c>
      <c r="J983">
        <v>11</v>
      </c>
      <c r="K983">
        <v>11</v>
      </c>
      <c r="L983">
        <v>10</v>
      </c>
      <c r="M983">
        <v>10</v>
      </c>
    </row>
    <row r="984" spans="1:13" x14ac:dyDescent="0.25">
      <c r="A984">
        <v>983</v>
      </c>
      <c r="B984">
        <v>60</v>
      </c>
      <c r="C984">
        <v>4</v>
      </c>
      <c r="D984" s="2">
        <v>42502.336921296293</v>
      </c>
      <c r="E984" t="s">
        <v>179</v>
      </c>
      <c r="F984">
        <v>180</v>
      </c>
      <c r="G984" s="3">
        <v>26</v>
      </c>
      <c r="H984">
        <v>1776</v>
      </c>
      <c r="I984" t="s">
        <v>181</v>
      </c>
      <c r="J984">
        <v>15</v>
      </c>
      <c r="K984">
        <v>18</v>
      </c>
      <c r="L984">
        <v>6</v>
      </c>
      <c r="M984">
        <v>3</v>
      </c>
    </row>
    <row r="985" spans="1:13" x14ac:dyDescent="0.25">
      <c r="A985">
        <v>984</v>
      </c>
      <c r="B985">
        <v>60</v>
      </c>
      <c r="C985">
        <v>9</v>
      </c>
      <c r="D985" s="2">
        <v>42507.541956018518</v>
      </c>
      <c r="E985" t="s">
        <v>179</v>
      </c>
      <c r="F985">
        <v>300</v>
      </c>
      <c r="G985" s="3">
        <v>27</v>
      </c>
      <c r="H985">
        <v>1748</v>
      </c>
      <c r="I985" t="s">
        <v>181</v>
      </c>
      <c r="J985">
        <v>18</v>
      </c>
      <c r="K985">
        <v>20</v>
      </c>
      <c r="L985">
        <v>3</v>
      </c>
      <c r="M985">
        <v>1</v>
      </c>
    </row>
    <row r="986" spans="1:13" x14ac:dyDescent="0.25">
      <c r="A986">
        <v>985</v>
      </c>
      <c r="B986">
        <v>60</v>
      </c>
      <c r="C986">
        <v>11</v>
      </c>
      <c r="D986" s="2">
        <v>42503.538854166669</v>
      </c>
      <c r="E986" t="s">
        <v>179</v>
      </c>
      <c r="F986">
        <v>30</v>
      </c>
      <c r="G986" s="3">
        <v>28</v>
      </c>
      <c r="H986">
        <v>0</v>
      </c>
      <c r="I986" t="s">
        <v>180</v>
      </c>
      <c r="J986">
        <v>0</v>
      </c>
      <c r="K986">
        <v>0</v>
      </c>
      <c r="L986">
        <v>0</v>
      </c>
      <c r="M986">
        <v>0</v>
      </c>
    </row>
    <row r="987" spans="1:13" x14ac:dyDescent="0.25">
      <c r="A987">
        <v>986</v>
      </c>
      <c r="B987">
        <v>60</v>
      </c>
      <c r="C987">
        <v>13</v>
      </c>
      <c r="D987" s="2">
        <v>42503.75377314815</v>
      </c>
      <c r="E987" t="s">
        <v>179</v>
      </c>
      <c r="F987">
        <v>270</v>
      </c>
      <c r="G987" s="3">
        <v>29</v>
      </c>
      <c r="H987">
        <v>1935</v>
      </c>
      <c r="I987" t="s">
        <v>181</v>
      </c>
      <c r="J987">
        <v>0</v>
      </c>
      <c r="K987">
        <v>13</v>
      </c>
      <c r="L987">
        <v>21</v>
      </c>
      <c r="M987">
        <v>8</v>
      </c>
    </row>
    <row r="988" spans="1:13" x14ac:dyDescent="0.25">
      <c r="A988">
        <v>987</v>
      </c>
      <c r="B988">
        <v>61</v>
      </c>
      <c r="C988">
        <v>4</v>
      </c>
      <c r="D988" s="2">
        <v>42514.622835648152</v>
      </c>
      <c r="E988" t="s">
        <v>179</v>
      </c>
      <c r="F988">
        <v>90</v>
      </c>
      <c r="G988" s="3">
        <v>1</v>
      </c>
      <c r="H988">
        <v>3295</v>
      </c>
      <c r="I988" t="s">
        <v>181</v>
      </c>
      <c r="J988">
        <v>20</v>
      </c>
      <c r="K988">
        <v>19</v>
      </c>
      <c r="L988">
        <v>1</v>
      </c>
      <c r="M988">
        <v>2</v>
      </c>
    </row>
    <row r="989" spans="1:13" x14ac:dyDescent="0.25">
      <c r="A989">
        <v>988</v>
      </c>
      <c r="B989">
        <v>61</v>
      </c>
      <c r="C989">
        <v>5</v>
      </c>
      <c r="D989" s="2">
        <v>42516.231122685182</v>
      </c>
      <c r="E989" t="s">
        <v>179</v>
      </c>
      <c r="F989">
        <v>60</v>
      </c>
      <c r="G989" s="3">
        <v>2</v>
      </c>
      <c r="H989">
        <v>3575</v>
      </c>
      <c r="I989" t="s">
        <v>181</v>
      </c>
      <c r="J989">
        <v>16</v>
      </c>
      <c r="K989">
        <v>14</v>
      </c>
      <c r="L989">
        <v>5</v>
      </c>
      <c r="M989">
        <v>7</v>
      </c>
    </row>
    <row r="990" spans="1:13" x14ac:dyDescent="0.25">
      <c r="A990">
        <v>989</v>
      </c>
      <c r="B990">
        <v>61</v>
      </c>
      <c r="C990">
        <v>22</v>
      </c>
      <c r="D990" s="2">
        <v>42513.089409722219</v>
      </c>
      <c r="E990" t="s">
        <v>179</v>
      </c>
      <c r="F990">
        <v>30</v>
      </c>
      <c r="G990" s="3">
        <v>3</v>
      </c>
      <c r="H990">
        <v>3366</v>
      </c>
      <c r="I990" t="s">
        <v>181</v>
      </c>
      <c r="J990">
        <v>18</v>
      </c>
      <c r="K990">
        <v>17</v>
      </c>
      <c r="L990">
        <v>3</v>
      </c>
      <c r="M990">
        <v>4</v>
      </c>
    </row>
    <row r="991" spans="1:13" x14ac:dyDescent="0.25">
      <c r="A991">
        <v>990</v>
      </c>
      <c r="B991">
        <v>61</v>
      </c>
      <c r="C991">
        <v>8</v>
      </c>
      <c r="D991" s="2">
        <v>42515.959004629629</v>
      </c>
      <c r="E991" t="s">
        <v>179</v>
      </c>
      <c r="F991">
        <v>0</v>
      </c>
      <c r="G991" s="3">
        <v>4</v>
      </c>
      <c r="H991">
        <v>0</v>
      </c>
      <c r="I991" t="s">
        <v>182</v>
      </c>
      <c r="J991">
        <v>0</v>
      </c>
      <c r="K991">
        <v>0</v>
      </c>
      <c r="L991">
        <v>0</v>
      </c>
      <c r="M991">
        <v>0</v>
      </c>
    </row>
    <row r="992" spans="1:13" x14ac:dyDescent="0.25">
      <c r="A992">
        <v>991</v>
      </c>
      <c r="B992">
        <v>61</v>
      </c>
      <c r="C992">
        <v>9</v>
      </c>
      <c r="D992" s="2">
        <v>42515.359444444446</v>
      </c>
      <c r="E992" t="s">
        <v>179</v>
      </c>
      <c r="F992">
        <v>300</v>
      </c>
      <c r="G992" s="3">
        <v>5</v>
      </c>
      <c r="H992">
        <v>3692</v>
      </c>
      <c r="I992" t="s">
        <v>181</v>
      </c>
      <c r="J992">
        <v>13</v>
      </c>
      <c r="K992">
        <v>16</v>
      </c>
      <c r="L992">
        <v>8</v>
      </c>
      <c r="M992">
        <v>5</v>
      </c>
    </row>
    <row r="993" spans="1:13" x14ac:dyDescent="0.25">
      <c r="A993">
        <v>992</v>
      </c>
      <c r="B993">
        <v>61</v>
      </c>
      <c r="C993">
        <v>12</v>
      </c>
      <c r="D993" s="2">
        <v>42511.645972222221</v>
      </c>
      <c r="E993" t="s">
        <v>179</v>
      </c>
      <c r="F993">
        <v>270</v>
      </c>
      <c r="G993" s="3">
        <v>6</v>
      </c>
      <c r="H993">
        <v>3675</v>
      </c>
      <c r="I993" t="s">
        <v>181</v>
      </c>
      <c r="J993">
        <v>14</v>
      </c>
      <c r="K993">
        <v>15</v>
      </c>
      <c r="L993">
        <v>7</v>
      </c>
      <c r="M993">
        <v>6</v>
      </c>
    </row>
    <row r="994" spans="1:13" x14ac:dyDescent="0.25">
      <c r="A994">
        <v>993</v>
      </c>
      <c r="B994">
        <v>61</v>
      </c>
      <c r="C994">
        <v>20</v>
      </c>
      <c r="D994" s="2">
        <v>42516.172071759262</v>
      </c>
      <c r="E994" t="s">
        <v>179</v>
      </c>
      <c r="F994">
        <v>0</v>
      </c>
      <c r="G994" s="3">
        <v>7</v>
      </c>
      <c r="H994">
        <v>3298</v>
      </c>
      <c r="I994" t="s">
        <v>181</v>
      </c>
      <c r="J994">
        <v>19</v>
      </c>
      <c r="K994">
        <v>18</v>
      </c>
      <c r="L994">
        <v>2</v>
      </c>
      <c r="M994">
        <v>3</v>
      </c>
    </row>
    <row r="995" spans="1:13" x14ac:dyDescent="0.25">
      <c r="A995">
        <v>994</v>
      </c>
      <c r="B995">
        <v>61</v>
      </c>
      <c r="C995">
        <v>3</v>
      </c>
      <c r="D995" s="2">
        <v>42510.459293981483</v>
      </c>
      <c r="E995" t="s">
        <v>179</v>
      </c>
      <c r="F995">
        <v>300</v>
      </c>
      <c r="G995" s="3">
        <v>8</v>
      </c>
      <c r="H995">
        <v>3411</v>
      </c>
      <c r="I995" t="s">
        <v>181</v>
      </c>
      <c r="J995">
        <v>17</v>
      </c>
      <c r="K995">
        <v>20</v>
      </c>
      <c r="L995">
        <v>4</v>
      </c>
      <c r="M995">
        <v>1</v>
      </c>
    </row>
    <row r="996" spans="1:13" x14ac:dyDescent="0.25">
      <c r="A996">
        <v>995</v>
      </c>
      <c r="B996">
        <v>61</v>
      </c>
      <c r="C996">
        <v>25</v>
      </c>
      <c r="D996" s="2">
        <v>42515.037673611114</v>
      </c>
      <c r="E996" t="s">
        <v>179</v>
      </c>
      <c r="F996">
        <v>300</v>
      </c>
      <c r="G996" s="3">
        <v>9</v>
      </c>
      <c r="H996">
        <v>0</v>
      </c>
      <c r="I996" t="s">
        <v>180</v>
      </c>
      <c r="J996">
        <v>0</v>
      </c>
      <c r="K996">
        <v>0</v>
      </c>
      <c r="L996">
        <v>0</v>
      </c>
      <c r="M996">
        <v>0</v>
      </c>
    </row>
    <row r="997" spans="1:13" x14ac:dyDescent="0.25">
      <c r="A997">
        <v>996</v>
      </c>
      <c r="B997">
        <v>61</v>
      </c>
      <c r="C997">
        <v>7</v>
      </c>
      <c r="D997" s="2">
        <v>42513.829745370371</v>
      </c>
      <c r="E997" t="s">
        <v>179</v>
      </c>
      <c r="F997">
        <v>0</v>
      </c>
      <c r="G997" s="3">
        <v>10</v>
      </c>
      <c r="H997">
        <v>0</v>
      </c>
      <c r="I997" t="s">
        <v>180</v>
      </c>
      <c r="J997">
        <v>0</v>
      </c>
      <c r="K997">
        <v>0</v>
      </c>
      <c r="L997">
        <v>0</v>
      </c>
      <c r="M997">
        <v>0</v>
      </c>
    </row>
    <row r="998" spans="1:13" x14ac:dyDescent="0.25">
      <c r="A998">
        <v>997</v>
      </c>
      <c r="B998">
        <v>61</v>
      </c>
      <c r="C998">
        <v>26</v>
      </c>
      <c r="D998" s="2">
        <v>42514.82640046296</v>
      </c>
      <c r="E998" t="s">
        <v>179</v>
      </c>
      <c r="F998">
        <v>120</v>
      </c>
      <c r="G998" s="3">
        <v>11</v>
      </c>
      <c r="H998">
        <v>0</v>
      </c>
      <c r="I998" t="s">
        <v>180</v>
      </c>
      <c r="J998">
        <v>0</v>
      </c>
      <c r="K998">
        <v>0</v>
      </c>
      <c r="L998">
        <v>0</v>
      </c>
      <c r="M998">
        <v>0</v>
      </c>
    </row>
    <row r="999" spans="1:13" x14ac:dyDescent="0.25">
      <c r="A999">
        <v>998</v>
      </c>
      <c r="B999">
        <v>61</v>
      </c>
      <c r="C999">
        <v>17</v>
      </c>
      <c r="D999" s="2">
        <v>42516.983842592592</v>
      </c>
      <c r="E999" t="s">
        <v>179</v>
      </c>
      <c r="F999">
        <v>30</v>
      </c>
      <c r="G999" s="3">
        <v>12</v>
      </c>
      <c r="H999">
        <v>3589</v>
      </c>
      <c r="I999" t="s">
        <v>181</v>
      </c>
      <c r="J999">
        <v>15</v>
      </c>
      <c r="K999">
        <v>13</v>
      </c>
      <c r="L999">
        <v>6</v>
      </c>
      <c r="M999">
        <v>8</v>
      </c>
    </row>
    <row r="1000" spans="1:13" x14ac:dyDescent="0.25">
      <c r="A1000">
        <v>999</v>
      </c>
      <c r="B1000">
        <v>61</v>
      </c>
      <c r="C1000">
        <v>6</v>
      </c>
      <c r="D1000" s="2">
        <v>42513.606689814813</v>
      </c>
      <c r="E1000" t="s">
        <v>179</v>
      </c>
      <c r="F1000">
        <v>90</v>
      </c>
      <c r="G1000" s="3">
        <v>13</v>
      </c>
      <c r="H1000">
        <v>0</v>
      </c>
      <c r="I1000" t="s">
        <v>182</v>
      </c>
      <c r="J1000">
        <v>0</v>
      </c>
      <c r="K1000">
        <v>0</v>
      </c>
      <c r="L1000">
        <v>0</v>
      </c>
      <c r="M1000">
        <v>0</v>
      </c>
    </row>
    <row r="1001" spans="1:13" x14ac:dyDescent="0.25">
      <c r="A1001">
        <v>1000</v>
      </c>
      <c r="B1001">
        <v>61</v>
      </c>
      <c r="C1001">
        <v>29</v>
      </c>
      <c r="D1001" s="2">
        <v>42516.476909722223</v>
      </c>
      <c r="E1001" t="s">
        <v>179</v>
      </c>
      <c r="F1001">
        <v>150</v>
      </c>
      <c r="G1001" s="3">
        <v>14</v>
      </c>
      <c r="H1001">
        <v>3722</v>
      </c>
      <c r="I1001" t="s">
        <v>181</v>
      </c>
      <c r="J1001">
        <v>12</v>
      </c>
      <c r="K1001">
        <v>12</v>
      </c>
      <c r="L1001">
        <v>9</v>
      </c>
      <c r="M1001">
        <v>9</v>
      </c>
    </row>
    <row r="1002" spans="1:13" x14ac:dyDescent="0.25">
      <c r="A1002">
        <v>1001</v>
      </c>
      <c r="B1002">
        <v>61</v>
      </c>
      <c r="C1002">
        <v>13</v>
      </c>
      <c r="D1002" s="2">
        <v>42512.085196759261</v>
      </c>
      <c r="E1002" t="s">
        <v>179</v>
      </c>
      <c r="F1002">
        <v>120</v>
      </c>
      <c r="G1002" s="3">
        <v>15</v>
      </c>
      <c r="H1002">
        <v>0</v>
      </c>
      <c r="I1002" t="s">
        <v>182</v>
      </c>
      <c r="J1002">
        <v>0</v>
      </c>
      <c r="K1002">
        <v>0</v>
      </c>
      <c r="L1002">
        <v>0</v>
      </c>
      <c r="M1002">
        <v>0</v>
      </c>
    </row>
    <row r="1003" spans="1:13" x14ac:dyDescent="0.25">
      <c r="A1003">
        <v>1002</v>
      </c>
      <c r="B1003">
        <v>62</v>
      </c>
      <c r="C1003">
        <v>28</v>
      </c>
      <c r="D1003" s="2">
        <v>42518.995763888888</v>
      </c>
      <c r="E1003" t="s">
        <v>179</v>
      </c>
      <c r="F1003">
        <v>270</v>
      </c>
      <c r="G1003" s="3">
        <v>1</v>
      </c>
      <c r="H1003">
        <v>0</v>
      </c>
      <c r="I1003" t="s">
        <v>182</v>
      </c>
      <c r="J1003">
        <v>0</v>
      </c>
      <c r="K1003">
        <v>0</v>
      </c>
      <c r="L1003">
        <v>0</v>
      </c>
      <c r="M1003">
        <v>0</v>
      </c>
    </row>
    <row r="1004" spans="1:13" x14ac:dyDescent="0.25">
      <c r="A1004">
        <v>1003</v>
      </c>
      <c r="B1004">
        <v>62</v>
      </c>
      <c r="C1004">
        <v>27</v>
      </c>
      <c r="D1004" s="2">
        <v>42519.677615740744</v>
      </c>
      <c r="E1004" t="s">
        <v>179</v>
      </c>
      <c r="F1004">
        <v>150</v>
      </c>
      <c r="G1004" s="3">
        <v>2</v>
      </c>
      <c r="H1004">
        <v>1462</v>
      </c>
      <c r="I1004" t="s">
        <v>181</v>
      </c>
      <c r="J1004">
        <v>7</v>
      </c>
      <c r="K1004">
        <v>8</v>
      </c>
      <c r="L1004">
        <v>14</v>
      </c>
      <c r="M1004">
        <v>13</v>
      </c>
    </row>
    <row r="1005" spans="1:13" x14ac:dyDescent="0.25">
      <c r="A1005">
        <v>1004</v>
      </c>
      <c r="B1005">
        <v>62</v>
      </c>
      <c r="C1005">
        <v>23</v>
      </c>
      <c r="D1005" s="2">
        <v>42519.066805555558</v>
      </c>
      <c r="E1005" t="s">
        <v>179</v>
      </c>
      <c r="F1005">
        <v>270</v>
      </c>
      <c r="G1005" s="3">
        <v>3</v>
      </c>
      <c r="H1005">
        <v>1472</v>
      </c>
      <c r="I1005" t="s">
        <v>181</v>
      </c>
      <c r="J1005">
        <v>6</v>
      </c>
      <c r="K1005">
        <v>15</v>
      </c>
      <c r="L1005">
        <v>15</v>
      </c>
      <c r="M1005">
        <v>6</v>
      </c>
    </row>
    <row r="1006" spans="1:13" x14ac:dyDescent="0.25">
      <c r="A1006">
        <v>1005</v>
      </c>
      <c r="B1006">
        <v>62</v>
      </c>
      <c r="C1006">
        <v>4</v>
      </c>
      <c r="D1006" s="2">
        <v>42520.620196759257</v>
      </c>
      <c r="E1006" t="s">
        <v>179</v>
      </c>
      <c r="F1006">
        <v>240</v>
      </c>
      <c r="G1006" s="3">
        <v>4</v>
      </c>
      <c r="H1006">
        <v>1329</v>
      </c>
      <c r="I1006" t="s">
        <v>181</v>
      </c>
      <c r="J1006">
        <v>19</v>
      </c>
      <c r="K1006">
        <v>20</v>
      </c>
      <c r="L1006">
        <v>2</v>
      </c>
      <c r="M1006">
        <v>1</v>
      </c>
    </row>
    <row r="1007" spans="1:13" x14ac:dyDescent="0.25">
      <c r="A1007">
        <v>1006</v>
      </c>
      <c r="B1007">
        <v>62</v>
      </c>
      <c r="C1007">
        <v>14</v>
      </c>
      <c r="D1007" s="2">
        <v>42520.185208333336</v>
      </c>
      <c r="E1007" t="s">
        <v>179</v>
      </c>
      <c r="F1007">
        <v>90</v>
      </c>
      <c r="G1007" s="3">
        <v>5</v>
      </c>
      <c r="H1007">
        <v>1378</v>
      </c>
      <c r="I1007" t="s">
        <v>181</v>
      </c>
      <c r="J1007">
        <v>15</v>
      </c>
      <c r="K1007">
        <v>9</v>
      </c>
      <c r="L1007">
        <v>6</v>
      </c>
      <c r="M1007">
        <v>12</v>
      </c>
    </row>
    <row r="1008" spans="1:13" x14ac:dyDescent="0.25">
      <c r="A1008">
        <v>1007</v>
      </c>
      <c r="B1008">
        <v>62</v>
      </c>
      <c r="C1008">
        <v>18</v>
      </c>
      <c r="D1008" s="2">
        <v>42521.780277777776</v>
      </c>
      <c r="E1008" t="s">
        <v>179</v>
      </c>
      <c r="F1008">
        <v>300</v>
      </c>
      <c r="G1008" s="3">
        <v>6</v>
      </c>
      <c r="H1008">
        <v>1427</v>
      </c>
      <c r="I1008" t="s">
        <v>181</v>
      </c>
      <c r="J1008">
        <v>11</v>
      </c>
      <c r="K1008">
        <v>17</v>
      </c>
      <c r="L1008">
        <v>10</v>
      </c>
      <c r="M1008">
        <v>4</v>
      </c>
    </row>
    <row r="1009" spans="1:13" x14ac:dyDescent="0.25">
      <c r="A1009">
        <v>1008</v>
      </c>
      <c r="B1009">
        <v>62</v>
      </c>
      <c r="C1009">
        <v>20</v>
      </c>
      <c r="D1009" s="2">
        <v>42517.344780092593</v>
      </c>
      <c r="E1009" t="s">
        <v>179</v>
      </c>
      <c r="F1009">
        <v>150</v>
      </c>
      <c r="G1009" s="3">
        <v>7</v>
      </c>
      <c r="H1009">
        <v>1335</v>
      </c>
      <c r="I1009" t="s">
        <v>181</v>
      </c>
      <c r="J1009">
        <v>18</v>
      </c>
      <c r="K1009">
        <v>16</v>
      </c>
      <c r="L1009">
        <v>3</v>
      </c>
      <c r="M1009">
        <v>5</v>
      </c>
    </row>
    <row r="1010" spans="1:13" x14ac:dyDescent="0.25">
      <c r="A1010">
        <v>1009</v>
      </c>
      <c r="B1010">
        <v>62</v>
      </c>
      <c r="C1010">
        <v>21</v>
      </c>
      <c r="D1010" s="2">
        <v>42518.647291666668</v>
      </c>
      <c r="E1010" t="s">
        <v>179</v>
      </c>
      <c r="F1010">
        <v>120</v>
      </c>
      <c r="G1010" s="3">
        <v>8</v>
      </c>
      <c r="H1010">
        <v>1385</v>
      </c>
      <c r="I1010" t="s">
        <v>181</v>
      </c>
      <c r="J1010">
        <v>14</v>
      </c>
      <c r="K1010">
        <v>11</v>
      </c>
      <c r="L1010">
        <v>7</v>
      </c>
      <c r="M1010">
        <v>10</v>
      </c>
    </row>
    <row r="1011" spans="1:13" x14ac:dyDescent="0.25">
      <c r="A1011">
        <v>1010</v>
      </c>
      <c r="B1011">
        <v>62</v>
      </c>
      <c r="C1011">
        <v>9</v>
      </c>
      <c r="D1011" s="2">
        <v>42518.242361111108</v>
      </c>
      <c r="E1011" t="s">
        <v>179</v>
      </c>
      <c r="F1011">
        <v>0</v>
      </c>
      <c r="G1011" s="3">
        <v>9</v>
      </c>
      <c r="H1011">
        <v>1434</v>
      </c>
      <c r="I1011" t="s">
        <v>181</v>
      </c>
      <c r="J1011">
        <v>10</v>
      </c>
      <c r="K1011">
        <v>6</v>
      </c>
      <c r="L1011">
        <v>11</v>
      </c>
      <c r="M1011">
        <v>15</v>
      </c>
    </row>
    <row r="1012" spans="1:13" x14ac:dyDescent="0.25">
      <c r="A1012">
        <v>1011</v>
      </c>
      <c r="B1012">
        <v>62</v>
      </c>
      <c r="C1012">
        <v>15</v>
      </c>
      <c r="D1012" s="2">
        <v>42519.807372685187</v>
      </c>
      <c r="E1012" t="s">
        <v>179</v>
      </c>
      <c r="F1012">
        <v>180</v>
      </c>
      <c r="G1012" s="3">
        <v>10</v>
      </c>
      <c r="H1012">
        <v>1291</v>
      </c>
      <c r="I1012" t="s">
        <v>181</v>
      </c>
      <c r="J1012">
        <v>20</v>
      </c>
      <c r="K1012">
        <v>19</v>
      </c>
      <c r="L1012">
        <v>1</v>
      </c>
      <c r="M1012">
        <v>2</v>
      </c>
    </row>
    <row r="1013" spans="1:13" x14ac:dyDescent="0.25">
      <c r="A1013">
        <v>1012</v>
      </c>
      <c r="B1013">
        <v>62</v>
      </c>
      <c r="C1013">
        <v>7</v>
      </c>
      <c r="D1013" s="2">
        <v>42521.360775462963</v>
      </c>
      <c r="E1013" t="s">
        <v>179</v>
      </c>
      <c r="F1013">
        <v>60</v>
      </c>
      <c r="G1013" s="3">
        <v>11</v>
      </c>
      <c r="H1013">
        <v>1340</v>
      </c>
      <c r="I1013" t="s">
        <v>181</v>
      </c>
      <c r="J1013">
        <v>17</v>
      </c>
      <c r="K1013">
        <v>10</v>
      </c>
      <c r="L1013">
        <v>4</v>
      </c>
      <c r="M1013">
        <v>11</v>
      </c>
    </row>
    <row r="1014" spans="1:13" x14ac:dyDescent="0.25">
      <c r="A1014">
        <v>1013</v>
      </c>
      <c r="B1014">
        <v>62</v>
      </c>
      <c r="C1014">
        <v>31</v>
      </c>
      <c r="D1014" s="2">
        <v>42521.92527777778</v>
      </c>
      <c r="E1014" t="s">
        <v>179</v>
      </c>
      <c r="F1014">
        <v>270</v>
      </c>
      <c r="G1014" s="3">
        <v>12</v>
      </c>
      <c r="H1014">
        <v>1390</v>
      </c>
      <c r="I1014" t="s">
        <v>181</v>
      </c>
      <c r="J1014">
        <v>13</v>
      </c>
      <c r="K1014">
        <v>18</v>
      </c>
      <c r="L1014">
        <v>8</v>
      </c>
      <c r="M1014">
        <v>3</v>
      </c>
    </row>
    <row r="1015" spans="1:13" x14ac:dyDescent="0.25">
      <c r="A1015">
        <v>1014</v>
      </c>
      <c r="B1015">
        <v>62</v>
      </c>
      <c r="C1015">
        <v>30</v>
      </c>
      <c r="D1015" s="2">
        <v>42516.520150462966</v>
      </c>
      <c r="E1015" t="s">
        <v>179</v>
      </c>
      <c r="F1015">
        <v>180</v>
      </c>
      <c r="G1015" s="3">
        <v>13</v>
      </c>
      <c r="H1015">
        <v>1439</v>
      </c>
      <c r="I1015" t="s">
        <v>181</v>
      </c>
      <c r="J1015">
        <v>9</v>
      </c>
      <c r="K1015">
        <v>12</v>
      </c>
      <c r="L1015">
        <v>12</v>
      </c>
      <c r="M1015">
        <v>9</v>
      </c>
    </row>
    <row r="1016" spans="1:13" x14ac:dyDescent="0.25">
      <c r="A1016">
        <v>1015</v>
      </c>
      <c r="B1016">
        <v>62</v>
      </c>
      <c r="C1016">
        <v>24</v>
      </c>
      <c r="D1016" s="2">
        <v>42517.793692129628</v>
      </c>
      <c r="E1016" t="s">
        <v>179</v>
      </c>
      <c r="F1016">
        <v>60</v>
      </c>
      <c r="G1016" s="3">
        <v>14</v>
      </c>
      <c r="H1016">
        <v>0</v>
      </c>
      <c r="I1016" t="s">
        <v>182</v>
      </c>
      <c r="J1016">
        <v>0</v>
      </c>
      <c r="K1016">
        <v>0</v>
      </c>
      <c r="L1016">
        <v>0</v>
      </c>
      <c r="M1016">
        <v>0</v>
      </c>
    </row>
    <row r="1017" spans="1:13" x14ac:dyDescent="0.25">
      <c r="A1017">
        <v>1016</v>
      </c>
      <c r="B1017">
        <v>62</v>
      </c>
      <c r="C1017">
        <v>13</v>
      </c>
      <c r="D1017" s="2">
        <v>42516.557858796295</v>
      </c>
      <c r="E1017" t="s">
        <v>179</v>
      </c>
      <c r="F1017">
        <v>150</v>
      </c>
      <c r="G1017" s="3">
        <v>15</v>
      </c>
      <c r="H1017">
        <v>1391</v>
      </c>
      <c r="I1017" t="s">
        <v>181</v>
      </c>
      <c r="J1017">
        <v>12</v>
      </c>
      <c r="K1017">
        <v>14</v>
      </c>
      <c r="L1017">
        <v>9</v>
      </c>
      <c r="M1017">
        <v>7</v>
      </c>
    </row>
    <row r="1018" spans="1:13" x14ac:dyDescent="0.25">
      <c r="A1018">
        <v>1017</v>
      </c>
      <c r="B1018">
        <v>62</v>
      </c>
      <c r="C1018">
        <v>16</v>
      </c>
      <c r="D1018" s="2">
        <v>42517.540173611109</v>
      </c>
      <c r="E1018" t="s">
        <v>179</v>
      </c>
      <c r="F1018">
        <v>120</v>
      </c>
      <c r="G1018" s="3">
        <v>16</v>
      </c>
      <c r="H1018">
        <v>1374</v>
      </c>
      <c r="I1018" t="s">
        <v>181</v>
      </c>
      <c r="J1018">
        <v>16</v>
      </c>
      <c r="K1018">
        <v>13</v>
      </c>
      <c r="L1018">
        <v>5</v>
      </c>
      <c r="M1018">
        <v>8</v>
      </c>
    </row>
    <row r="1019" spans="1:13" x14ac:dyDescent="0.25">
      <c r="A1019">
        <v>1018</v>
      </c>
      <c r="B1019">
        <v>62</v>
      </c>
      <c r="C1019">
        <v>22</v>
      </c>
      <c r="D1019" s="2">
        <v>42519.73064814815</v>
      </c>
      <c r="E1019" t="s">
        <v>179</v>
      </c>
      <c r="F1019">
        <v>90</v>
      </c>
      <c r="G1019" s="3">
        <v>17</v>
      </c>
      <c r="H1019">
        <v>0</v>
      </c>
      <c r="I1019" t="s">
        <v>180</v>
      </c>
      <c r="J1019">
        <v>0</v>
      </c>
      <c r="K1019">
        <v>0</v>
      </c>
      <c r="L1019">
        <v>0</v>
      </c>
      <c r="M1019">
        <v>0</v>
      </c>
    </row>
    <row r="1020" spans="1:13" x14ac:dyDescent="0.25">
      <c r="A1020">
        <v>1019</v>
      </c>
      <c r="B1020">
        <v>62</v>
      </c>
      <c r="C1020">
        <v>8</v>
      </c>
      <c r="D1020" s="2">
        <v>42517.410393518519</v>
      </c>
      <c r="E1020" t="s">
        <v>179</v>
      </c>
      <c r="F1020">
        <v>30</v>
      </c>
      <c r="G1020" s="3">
        <v>18</v>
      </c>
      <c r="H1020">
        <v>1461</v>
      </c>
      <c r="I1020" t="s">
        <v>181</v>
      </c>
      <c r="J1020">
        <v>8</v>
      </c>
      <c r="K1020">
        <v>7</v>
      </c>
      <c r="L1020">
        <v>13</v>
      </c>
      <c r="M1020">
        <v>14</v>
      </c>
    </row>
    <row r="1021" spans="1:13" x14ac:dyDescent="0.25">
      <c r="A1021">
        <v>1020</v>
      </c>
      <c r="B1021">
        <v>63</v>
      </c>
      <c r="C1021">
        <v>16</v>
      </c>
      <c r="D1021" s="2">
        <v>42524.610289351855</v>
      </c>
      <c r="E1021" t="s">
        <v>179</v>
      </c>
      <c r="F1021">
        <v>60</v>
      </c>
      <c r="G1021" s="3">
        <v>1</v>
      </c>
      <c r="H1021">
        <v>1463</v>
      </c>
      <c r="I1021" t="s">
        <v>181</v>
      </c>
      <c r="J1021">
        <v>17</v>
      </c>
      <c r="K1021">
        <v>16</v>
      </c>
      <c r="L1021">
        <v>4</v>
      </c>
      <c r="M1021">
        <v>5</v>
      </c>
    </row>
    <row r="1022" spans="1:13" x14ac:dyDescent="0.25">
      <c r="A1022">
        <v>1021</v>
      </c>
      <c r="B1022">
        <v>63</v>
      </c>
      <c r="C1022">
        <v>20</v>
      </c>
      <c r="D1022" s="2">
        <v>42524.537534722222</v>
      </c>
      <c r="E1022" t="s">
        <v>179</v>
      </c>
      <c r="F1022">
        <v>270</v>
      </c>
      <c r="G1022" s="3">
        <v>2</v>
      </c>
      <c r="H1022">
        <v>1384</v>
      </c>
      <c r="I1022" t="s">
        <v>181</v>
      </c>
      <c r="J1022">
        <v>19</v>
      </c>
      <c r="K1022">
        <v>20</v>
      </c>
      <c r="L1022">
        <v>2</v>
      </c>
      <c r="M1022">
        <v>1</v>
      </c>
    </row>
    <row r="1023" spans="1:13" x14ac:dyDescent="0.25">
      <c r="A1023">
        <v>1022</v>
      </c>
      <c r="B1023">
        <v>63</v>
      </c>
      <c r="C1023">
        <v>31</v>
      </c>
      <c r="D1023" s="2">
        <v>42523.423113425924</v>
      </c>
      <c r="E1023" t="s">
        <v>179</v>
      </c>
      <c r="F1023">
        <v>120</v>
      </c>
      <c r="G1023" s="3">
        <v>3</v>
      </c>
      <c r="H1023">
        <v>1357</v>
      </c>
      <c r="I1023" t="s">
        <v>181</v>
      </c>
      <c r="J1023">
        <v>20</v>
      </c>
      <c r="K1023">
        <v>18</v>
      </c>
      <c r="L1023">
        <v>1</v>
      </c>
      <c r="M1023">
        <v>3</v>
      </c>
    </row>
    <row r="1024" spans="1:13" x14ac:dyDescent="0.25">
      <c r="A1024">
        <v>1023</v>
      </c>
      <c r="B1024">
        <v>63</v>
      </c>
      <c r="C1024">
        <v>14</v>
      </c>
      <c r="D1024" s="2">
        <v>42525.350173611114</v>
      </c>
      <c r="E1024" t="s">
        <v>179</v>
      </c>
      <c r="F1024">
        <v>240</v>
      </c>
      <c r="G1024" s="3">
        <v>4</v>
      </c>
      <c r="H1024">
        <v>1475</v>
      </c>
      <c r="I1024" t="s">
        <v>181</v>
      </c>
      <c r="J1024">
        <v>16</v>
      </c>
      <c r="K1024">
        <v>19</v>
      </c>
      <c r="L1024">
        <v>5</v>
      </c>
      <c r="M1024">
        <v>2</v>
      </c>
    </row>
    <row r="1025" spans="1:13" x14ac:dyDescent="0.25">
      <c r="A1025">
        <v>1024</v>
      </c>
      <c r="B1025">
        <v>63</v>
      </c>
      <c r="C1025">
        <v>17</v>
      </c>
      <c r="D1025" s="2">
        <v>42524.278113425928</v>
      </c>
      <c r="E1025" t="s">
        <v>179</v>
      </c>
      <c r="F1025">
        <v>90</v>
      </c>
      <c r="G1025" s="3">
        <v>5</v>
      </c>
      <c r="H1025">
        <v>1396</v>
      </c>
      <c r="I1025" t="s">
        <v>181</v>
      </c>
      <c r="J1025">
        <v>18</v>
      </c>
      <c r="K1025">
        <v>17</v>
      </c>
      <c r="L1025">
        <v>3</v>
      </c>
      <c r="M1025">
        <v>4</v>
      </c>
    </row>
    <row r="1026" spans="1:13" x14ac:dyDescent="0.25">
      <c r="A1026">
        <v>1025</v>
      </c>
      <c r="B1026">
        <v>63</v>
      </c>
      <c r="C1026">
        <v>30</v>
      </c>
      <c r="D1026" s="2">
        <v>42524.174791666665</v>
      </c>
      <c r="E1026" t="s">
        <v>179</v>
      </c>
      <c r="F1026">
        <v>270</v>
      </c>
      <c r="G1026" s="3">
        <v>6</v>
      </c>
      <c r="H1026">
        <v>0</v>
      </c>
      <c r="I1026" t="s">
        <v>182</v>
      </c>
      <c r="J1026">
        <v>0</v>
      </c>
      <c r="K1026">
        <v>0</v>
      </c>
      <c r="L1026">
        <v>0</v>
      </c>
      <c r="M1026">
        <v>0</v>
      </c>
    </row>
    <row r="1027" spans="1:13" x14ac:dyDescent="0.25">
      <c r="A1027">
        <v>1026</v>
      </c>
      <c r="B1027">
        <v>64</v>
      </c>
      <c r="C1027">
        <v>28</v>
      </c>
      <c r="D1027" s="2">
        <v>42530.611608796295</v>
      </c>
      <c r="E1027" t="s">
        <v>179</v>
      </c>
      <c r="F1027">
        <v>150</v>
      </c>
      <c r="G1027" s="3">
        <v>1</v>
      </c>
      <c r="H1027">
        <v>0</v>
      </c>
      <c r="I1027" t="s">
        <v>182</v>
      </c>
      <c r="J1027">
        <v>0</v>
      </c>
      <c r="K1027">
        <v>0</v>
      </c>
      <c r="L1027">
        <v>0</v>
      </c>
      <c r="M1027">
        <v>0</v>
      </c>
    </row>
    <row r="1028" spans="1:13" x14ac:dyDescent="0.25">
      <c r="A1028">
        <v>1027</v>
      </c>
      <c r="B1028">
        <v>64</v>
      </c>
      <c r="C1028">
        <v>22</v>
      </c>
      <c r="D1028" s="2">
        <v>42529.908738425926</v>
      </c>
      <c r="E1028" t="s">
        <v>179</v>
      </c>
      <c r="F1028">
        <v>300</v>
      </c>
      <c r="G1028" s="3">
        <v>2</v>
      </c>
      <c r="H1028">
        <v>0</v>
      </c>
      <c r="I1028" t="s">
        <v>182</v>
      </c>
      <c r="J1028">
        <v>0</v>
      </c>
      <c r="K1028">
        <v>0</v>
      </c>
      <c r="L1028">
        <v>0</v>
      </c>
      <c r="M1028">
        <v>0</v>
      </c>
    </row>
    <row r="1029" spans="1:13" x14ac:dyDescent="0.25">
      <c r="A1029">
        <v>1028</v>
      </c>
      <c r="B1029">
        <v>64</v>
      </c>
      <c r="C1029">
        <v>5</v>
      </c>
      <c r="D1029" s="2">
        <v>42535.115104166667</v>
      </c>
      <c r="E1029" t="s">
        <v>179</v>
      </c>
      <c r="F1029">
        <v>150</v>
      </c>
      <c r="G1029" s="3">
        <v>3</v>
      </c>
      <c r="H1029">
        <v>1320</v>
      </c>
      <c r="I1029" t="s">
        <v>181</v>
      </c>
      <c r="J1029">
        <v>19</v>
      </c>
      <c r="K1029">
        <v>17</v>
      </c>
      <c r="L1029">
        <v>2</v>
      </c>
      <c r="M1029">
        <v>4</v>
      </c>
    </row>
    <row r="1030" spans="1:13" x14ac:dyDescent="0.25">
      <c r="A1030">
        <v>1029</v>
      </c>
      <c r="B1030">
        <v>64</v>
      </c>
      <c r="C1030">
        <v>6</v>
      </c>
      <c r="D1030" s="2">
        <v>42531.723391203705</v>
      </c>
      <c r="E1030" t="s">
        <v>179</v>
      </c>
      <c r="F1030">
        <v>120</v>
      </c>
      <c r="G1030" s="3">
        <v>4</v>
      </c>
      <c r="H1030">
        <v>1430</v>
      </c>
      <c r="I1030" t="s">
        <v>181</v>
      </c>
      <c r="J1030">
        <v>11</v>
      </c>
      <c r="K1030">
        <v>13</v>
      </c>
      <c r="L1030">
        <v>10</v>
      </c>
      <c r="M1030">
        <v>8</v>
      </c>
    </row>
    <row r="1031" spans="1:13" x14ac:dyDescent="0.25">
      <c r="A1031">
        <v>1030</v>
      </c>
      <c r="B1031">
        <v>64</v>
      </c>
      <c r="C1031">
        <v>14</v>
      </c>
      <c r="D1031" s="2">
        <v>42533.623530092591</v>
      </c>
      <c r="E1031" t="s">
        <v>179</v>
      </c>
      <c r="F1031">
        <v>90</v>
      </c>
      <c r="G1031" s="3">
        <v>5</v>
      </c>
      <c r="H1031">
        <v>1450</v>
      </c>
      <c r="I1031" t="s">
        <v>181</v>
      </c>
      <c r="J1031">
        <v>8</v>
      </c>
      <c r="K1031">
        <v>11</v>
      </c>
      <c r="L1031">
        <v>13</v>
      </c>
      <c r="M1031">
        <v>10</v>
      </c>
    </row>
    <row r="1032" spans="1:13" x14ac:dyDescent="0.25">
      <c r="A1032">
        <v>1031</v>
      </c>
      <c r="B1032">
        <v>64</v>
      </c>
      <c r="C1032">
        <v>26</v>
      </c>
      <c r="D1032" s="2">
        <v>42534.00372685185</v>
      </c>
      <c r="E1032" t="s">
        <v>179</v>
      </c>
      <c r="F1032">
        <v>240</v>
      </c>
      <c r="G1032" s="3">
        <v>6</v>
      </c>
      <c r="H1032">
        <v>1316</v>
      </c>
      <c r="I1032" t="s">
        <v>181</v>
      </c>
      <c r="J1032">
        <v>20</v>
      </c>
      <c r="K1032">
        <v>20</v>
      </c>
      <c r="L1032">
        <v>1</v>
      </c>
      <c r="M1032">
        <v>1</v>
      </c>
    </row>
    <row r="1033" spans="1:13" x14ac:dyDescent="0.25">
      <c r="A1033">
        <v>1032</v>
      </c>
      <c r="B1033">
        <v>64</v>
      </c>
      <c r="C1033">
        <v>3</v>
      </c>
      <c r="D1033" s="2">
        <v>42528.664097222223</v>
      </c>
      <c r="E1033" t="s">
        <v>179</v>
      </c>
      <c r="F1033">
        <v>180</v>
      </c>
      <c r="G1033" s="3">
        <v>7</v>
      </c>
      <c r="H1033">
        <v>1427</v>
      </c>
      <c r="I1033" t="s">
        <v>181</v>
      </c>
      <c r="J1033">
        <v>12</v>
      </c>
      <c r="K1033">
        <v>16</v>
      </c>
      <c r="L1033">
        <v>9</v>
      </c>
      <c r="M1033">
        <v>5</v>
      </c>
    </row>
    <row r="1034" spans="1:13" x14ac:dyDescent="0.25">
      <c r="A1034">
        <v>1033</v>
      </c>
      <c r="B1034">
        <v>64</v>
      </c>
      <c r="C1034">
        <v>1</v>
      </c>
      <c r="D1034" s="2">
        <v>42530.522569444445</v>
      </c>
      <c r="E1034" t="s">
        <v>179</v>
      </c>
      <c r="F1034">
        <v>180</v>
      </c>
      <c r="G1034" s="3">
        <v>8</v>
      </c>
      <c r="H1034">
        <v>0</v>
      </c>
      <c r="I1034" t="s">
        <v>180</v>
      </c>
      <c r="J1034">
        <v>0</v>
      </c>
      <c r="K1034">
        <v>0</v>
      </c>
      <c r="L1034">
        <v>0</v>
      </c>
      <c r="M1034">
        <v>0</v>
      </c>
    </row>
    <row r="1035" spans="1:13" x14ac:dyDescent="0.25">
      <c r="A1035">
        <v>1034</v>
      </c>
      <c r="B1035">
        <v>64</v>
      </c>
      <c r="C1035">
        <v>11</v>
      </c>
      <c r="D1035" s="2">
        <v>42529.329270833332</v>
      </c>
      <c r="E1035" t="s">
        <v>179</v>
      </c>
      <c r="F1035">
        <v>30</v>
      </c>
      <c r="G1035" s="3">
        <v>9</v>
      </c>
      <c r="H1035">
        <v>1393</v>
      </c>
      <c r="I1035" t="s">
        <v>181</v>
      </c>
      <c r="J1035">
        <v>17</v>
      </c>
      <c r="K1035">
        <v>10</v>
      </c>
      <c r="L1035">
        <v>4</v>
      </c>
      <c r="M1035">
        <v>11</v>
      </c>
    </row>
    <row r="1036" spans="1:13" x14ac:dyDescent="0.25">
      <c r="A1036">
        <v>1035</v>
      </c>
      <c r="B1036">
        <v>64</v>
      </c>
      <c r="C1036">
        <v>24</v>
      </c>
      <c r="D1036" s="2">
        <v>42531.882662037038</v>
      </c>
      <c r="E1036" t="s">
        <v>179</v>
      </c>
      <c r="F1036">
        <v>240</v>
      </c>
      <c r="G1036" s="3">
        <v>10</v>
      </c>
      <c r="H1036">
        <v>0</v>
      </c>
      <c r="I1036" t="s">
        <v>180</v>
      </c>
      <c r="J1036">
        <v>0</v>
      </c>
      <c r="K1036">
        <v>0</v>
      </c>
      <c r="L1036">
        <v>0</v>
      </c>
      <c r="M1036">
        <v>0</v>
      </c>
    </row>
    <row r="1037" spans="1:13" x14ac:dyDescent="0.25">
      <c r="A1037">
        <v>1036</v>
      </c>
      <c r="B1037">
        <v>64</v>
      </c>
      <c r="C1037">
        <v>13</v>
      </c>
      <c r="D1037" s="2">
        <v>42531.849629629629</v>
      </c>
      <c r="E1037" t="s">
        <v>179</v>
      </c>
      <c r="F1037">
        <v>240</v>
      </c>
      <c r="G1037" s="3">
        <v>11</v>
      </c>
      <c r="H1037">
        <v>1397</v>
      </c>
      <c r="I1037" t="s">
        <v>181</v>
      </c>
      <c r="J1037">
        <v>16</v>
      </c>
      <c r="K1037">
        <v>18</v>
      </c>
      <c r="L1037">
        <v>5</v>
      </c>
      <c r="M1037">
        <v>3</v>
      </c>
    </row>
    <row r="1038" spans="1:13" x14ac:dyDescent="0.25">
      <c r="A1038">
        <v>1037</v>
      </c>
      <c r="B1038">
        <v>64</v>
      </c>
      <c r="C1038">
        <v>20</v>
      </c>
      <c r="D1038" s="2">
        <v>42530.108356481483</v>
      </c>
      <c r="E1038" t="s">
        <v>179</v>
      </c>
      <c r="F1038">
        <v>0</v>
      </c>
      <c r="G1038" s="3">
        <v>12</v>
      </c>
      <c r="H1038">
        <v>1386</v>
      </c>
      <c r="I1038" t="s">
        <v>181</v>
      </c>
      <c r="J1038">
        <v>18</v>
      </c>
      <c r="K1038">
        <v>8</v>
      </c>
      <c r="L1038">
        <v>3</v>
      </c>
      <c r="M1038">
        <v>13</v>
      </c>
    </row>
    <row r="1039" spans="1:13" x14ac:dyDescent="0.25">
      <c r="A1039">
        <v>1038</v>
      </c>
      <c r="B1039">
        <v>64</v>
      </c>
      <c r="C1039">
        <v>30</v>
      </c>
      <c r="D1039" s="2">
        <v>42530.368298611109</v>
      </c>
      <c r="E1039" t="s">
        <v>179</v>
      </c>
      <c r="F1039">
        <v>150</v>
      </c>
      <c r="G1039" s="3">
        <v>13</v>
      </c>
      <c r="H1039">
        <v>1425</v>
      </c>
      <c r="I1039" t="s">
        <v>181</v>
      </c>
      <c r="J1039">
        <v>13</v>
      </c>
      <c r="K1039">
        <v>14</v>
      </c>
      <c r="L1039">
        <v>8</v>
      </c>
      <c r="M1039">
        <v>7</v>
      </c>
    </row>
    <row r="1040" spans="1:13" x14ac:dyDescent="0.25">
      <c r="A1040">
        <v>1039</v>
      </c>
      <c r="B1040">
        <v>64</v>
      </c>
      <c r="C1040">
        <v>19</v>
      </c>
      <c r="D1040" s="2">
        <v>42529.586747685185</v>
      </c>
      <c r="E1040" t="s">
        <v>179</v>
      </c>
      <c r="F1040">
        <v>270</v>
      </c>
      <c r="G1040" s="3">
        <v>14</v>
      </c>
      <c r="H1040">
        <v>1414</v>
      </c>
      <c r="I1040" t="s">
        <v>181</v>
      </c>
      <c r="J1040">
        <v>14</v>
      </c>
      <c r="K1040">
        <v>19</v>
      </c>
      <c r="L1040">
        <v>7</v>
      </c>
      <c r="M1040">
        <v>2</v>
      </c>
    </row>
    <row r="1041" spans="1:13" x14ac:dyDescent="0.25">
      <c r="A1041">
        <v>1040</v>
      </c>
      <c r="B1041">
        <v>64</v>
      </c>
      <c r="C1041">
        <v>17</v>
      </c>
      <c r="D1041" s="2">
        <v>42528.835057870368</v>
      </c>
      <c r="E1041" t="s">
        <v>179</v>
      </c>
      <c r="F1041">
        <v>90</v>
      </c>
      <c r="G1041" s="3">
        <v>15</v>
      </c>
      <c r="H1041">
        <v>1402</v>
      </c>
      <c r="I1041" t="s">
        <v>181</v>
      </c>
      <c r="J1041">
        <v>15</v>
      </c>
      <c r="K1041">
        <v>12</v>
      </c>
      <c r="L1041">
        <v>6</v>
      </c>
      <c r="M1041">
        <v>9</v>
      </c>
    </row>
    <row r="1042" spans="1:13" x14ac:dyDescent="0.25">
      <c r="A1042">
        <v>1041</v>
      </c>
      <c r="B1042">
        <v>64</v>
      </c>
      <c r="C1042">
        <v>8</v>
      </c>
      <c r="D1042" s="2">
        <v>42528.094490740739</v>
      </c>
      <c r="E1042" t="s">
        <v>179</v>
      </c>
      <c r="F1042">
        <v>180</v>
      </c>
      <c r="G1042" s="3">
        <v>16</v>
      </c>
      <c r="H1042">
        <v>1442</v>
      </c>
      <c r="I1042" t="s">
        <v>181</v>
      </c>
      <c r="J1042">
        <v>9</v>
      </c>
      <c r="K1042">
        <v>15</v>
      </c>
      <c r="L1042">
        <v>12</v>
      </c>
      <c r="M1042">
        <v>6</v>
      </c>
    </row>
    <row r="1043" spans="1:13" x14ac:dyDescent="0.25">
      <c r="A1043">
        <v>1042</v>
      </c>
      <c r="B1043">
        <v>64</v>
      </c>
      <c r="C1043">
        <v>9</v>
      </c>
      <c r="D1043" s="2">
        <v>42535.35460648148</v>
      </c>
      <c r="E1043" t="s">
        <v>179</v>
      </c>
      <c r="F1043">
        <v>60</v>
      </c>
      <c r="G1043" s="3">
        <v>17</v>
      </c>
      <c r="H1043">
        <v>1430</v>
      </c>
      <c r="I1043" t="s">
        <v>181</v>
      </c>
      <c r="J1043">
        <v>11</v>
      </c>
      <c r="K1043">
        <v>9</v>
      </c>
      <c r="L1043">
        <v>10</v>
      </c>
      <c r="M1043">
        <v>12</v>
      </c>
    </row>
    <row r="1044" spans="1:13" x14ac:dyDescent="0.25">
      <c r="A1044">
        <v>1043</v>
      </c>
      <c r="B1044">
        <v>65</v>
      </c>
      <c r="C1044">
        <v>2</v>
      </c>
      <c r="D1044" s="2">
        <v>42536.181805555556</v>
      </c>
      <c r="E1044" t="s">
        <v>179</v>
      </c>
      <c r="F1044">
        <v>240</v>
      </c>
      <c r="G1044" s="3">
        <v>1</v>
      </c>
      <c r="H1044">
        <v>1712</v>
      </c>
      <c r="I1044" t="s">
        <v>181</v>
      </c>
      <c r="J1044">
        <v>20</v>
      </c>
      <c r="K1044">
        <v>20</v>
      </c>
      <c r="L1044">
        <v>1</v>
      </c>
      <c r="M1044">
        <v>1</v>
      </c>
    </row>
    <row r="1045" spans="1:13" x14ac:dyDescent="0.25">
      <c r="A1045">
        <v>1044</v>
      </c>
      <c r="B1045">
        <v>66</v>
      </c>
      <c r="C1045">
        <v>6</v>
      </c>
      <c r="D1045" s="2">
        <v>42547.967349537037</v>
      </c>
      <c r="E1045" t="s">
        <v>179</v>
      </c>
      <c r="F1045">
        <v>300</v>
      </c>
      <c r="G1045" s="3">
        <v>1</v>
      </c>
      <c r="H1045">
        <v>1303</v>
      </c>
      <c r="I1045" t="s">
        <v>181</v>
      </c>
      <c r="J1045">
        <v>18</v>
      </c>
      <c r="K1045">
        <v>20</v>
      </c>
      <c r="L1045">
        <v>3</v>
      </c>
      <c r="M1045">
        <v>1</v>
      </c>
    </row>
    <row r="1046" spans="1:13" x14ac:dyDescent="0.25">
      <c r="A1046">
        <v>1045</v>
      </c>
      <c r="B1046">
        <v>66</v>
      </c>
      <c r="C1046">
        <v>17</v>
      </c>
      <c r="D1046" s="2">
        <v>42546.226770833331</v>
      </c>
      <c r="E1046" t="s">
        <v>179</v>
      </c>
      <c r="F1046">
        <v>120</v>
      </c>
      <c r="G1046" s="3">
        <v>2</v>
      </c>
      <c r="H1046">
        <v>1292</v>
      </c>
      <c r="I1046" t="s">
        <v>181</v>
      </c>
      <c r="J1046">
        <v>20</v>
      </c>
      <c r="K1046">
        <v>17</v>
      </c>
      <c r="L1046">
        <v>1</v>
      </c>
      <c r="M1046">
        <v>4</v>
      </c>
    </row>
    <row r="1047" spans="1:13" x14ac:dyDescent="0.25">
      <c r="A1047">
        <v>1046</v>
      </c>
      <c r="B1047">
        <v>66</v>
      </c>
      <c r="C1047">
        <v>5</v>
      </c>
      <c r="D1047" s="2">
        <v>42545.486192129632</v>
      </c>
      <c r="E1047" t="s">
        <v>179</v>
      </c>
      <c r="F1047">
        <v>240</v>
      </c>
      <c r="G1047" s="3">
        <v>3</v>
      </c>
      <c r="H1047">
        <v>0</v>
      </c>
      <c r="I1047" t="s">
        <v>180</v>
      </c>
      <c r="J1047">
        <v>0</v>
      </c>
      <c r="K1047">
        <v>0</v>
      </c>
      <c r="L1047">
        <v>0</v>
      </c>
      <c r="M1047">
        <v>0</v>
      </c>
    </row>
    <row r="1048" spans="1:13" x14ac:dyDescent="0.25">
      <c r="A1048">
        <v>1047</v>
      </c>
      <c r="B1048">
        <v>66</v>
      </c>
      <c r="C1048">
        <v>21</v>
      </c>
      <c r="D1048" s="2">
        <v>42547.265787037039</v>
      </c>
      <c r="E1048" t="s">
        <v>179</v>
      </c>
      <c r="F1048">
        <v>300</v>
      </c>
      <c r="G1048" s="3">
        <v>4</v>
      </c>
      <c r="H1048">
        <v>1324</v>
      </c>
      <c r="I1048" t="s">
        <v>181</v>
      </c>
      <c r="J1048">
        <v>17</v>
      </c>
      <c r="K1048">
        <v>19</v>
      </c>
      <c r="L1048">
        <v>4</v>
      </c>
      <c r="M1048">
        <v>2</v>
      </c>
    </row>
    <row r="1049" spans="1:13" x14ac:dyDescent="0.25">
      <c r="A1049">
        <v>1048</v>
      </c>
      <c r="B1049">
        <v>66</v>
      </c>
      <c r="C1049">
        <v>31</v>
      </c>
      <c r="D1049" s="2">
        <v>42543.178472222222</v>
      </c>
      <c r="E1049" t="s">
        <v>179</v>
      </c>
      <c r="F1049">
        <v>270</v>
      </c>
      <c r="G1049" s="3">
        <v>5</v>
      </c>
      <c r="H1049">
        <v>1302</v>
      </c>
      <c r="I1049" t="s">
        <v>181</v>
      </c>
      <c r="J1049">
        <v>19</v>
      </c>
      <c r="K1049">
        <v>18</v>
      </c>
      <c r="L1049">
        <v>2</v>
      </c>
      <c r="M1049">
        <v>3</v>
      </c>
    </row>
    <row r="1050" spans="1:13" x14ac:dyDescent="0.25">
      <c r="A1050">
        <v>1049</v>
      </c>
      <c r="B1050">
        <v>66</v>
      </c>
      <c r="C1050">
        <v>7</v>
      </c>
      <c r="D1050" s="2">
        <v>42548.133506944447</v>
      </c>
      <c r="E1050" t="s">
        <v>179</v>
      </c>
      <c r="F1050">
        <v>30</v>
      </c>
      <c r="G1050" s="3">
        <v>6</v>
      </c>
      <c r="H1050">
        <v>1423</v>
      </c>
      <c r="I1050" t="s">
        <v>181</v>
      </c>
      <c r="J1050">
        <v>16</v>
      </c>
      <c r="K1050">
        <v>16</v>
      </c>
      <c r="L1050">
        <v>5</v>
      </c>
      <c r="M1050">
        <v>5</v>
      </c>
    </row>
    <row r="1051" spans="1:13" x14ac:dyDescent="0.25">
      <c r="A1051">
        <v>1050</v>
      </c>
      <c r="B1051">
        <v>67</v>
      </c>
      <c r="C1051">
        <v>31</v>
      </c>
      <c r="D1051" s="2">
        <v>42556.320173611108</v>
      </c>
      <c r="E1051" t="s">
        <v>179</v>
      </c>
      <c r="F1051">
        <v>300</v>
      </c>
      <c r="G1051" s="3">
        <v>1</v>
      </c>
      <c r="H1051">
        <v>1414</v>
      </c>
      <c r="I1051" t="s">
        <v>181</v>
      </c>
      <c r="J1051">
        <v>11</v>
      </c>
      <c r="K1051">
        <v>19</v>
      </c>
      <c r="L1051">
        <v>10</v>
      </c>
      <c r="M1051">
        <v>2</v>
      </c>
    </row>
    <row r="1052" spans="1:13" x14ac:dyDescent="0.25">
      <c r="A1052">
        <v>1051</v>
      </c>
      <c r="B1052">
        <v>67</v>
      </c>
      <c r="C1052">
        <v>15</v>
      </c>
      <c r="D1052" s="2">
        <v>42553.525219907409</v>
      </c>
      <c r="E1052" t="s">
        <v>179</v>
      </c>
      <c r="F1052">
        <v>30</v>
      </c>
      <c r="G1052" s="3">
        <v>2</v>
      </c>
      <c r="H1052">
        <v>0</v>
      </c>
      <c r="I1052" t="s">
        <v>180</v>
      </c>
      <c r="J1052">
        <v>0</v>
      </c>
      <c r="K1052">
        <v>0</v>
      </c>
      <c r="L1052">
        <v>0</v>
      </c>
      <c r="M1052">
        <v>0</v>
      </c>
    </row>
    <row r="1053" spans="1:13" x14ac:dyDescent="0.25">
      <c r="A1053">
        <v>1052</v>
      </c>
      <c r="B1053">
        <v>67</v>
      </c>
      <c r="C1053">
        <v>6</v>
      </c>
      <c r="D1053" s="2">
        <v>42556.130868055552</v>
      </c>
      <c r="E1053" t="s">
        <v>179</v>
      </c>
      <c r="F1053">
        <v>150</v>
      </c>
      <c r="G1053" s="3">
        <v>3</v>
      </c>
      <c r="H1053">
        <v>1486</v>
      </c>
      <c r="I1053" t="s">
        <v>181</v>
      </c>
      <c r="J1053">
        <v>7</v>
      </c>
      <c r="K1053">
        <v>12</v>
      </c>
      <c r="L1053">
        <v>14</v>
      </c>
      <c r="M1053">
        <v>9</v>
      </c>
    </row>
    <row r="1054" spans="1:13" x14ac:dyDescent="0.25">
      <c r="A1054">
        <v>1053</v>
      </c>
      <c r="B1054">
        <v>67</v>
      </c>
      <c r="C1054">
        <v>29</v>
      </c>
      <c r="D1054" s="2">
        <v>42550.072488425925</v>
      </c>
      <c r="E1054" t="s">
        <v>179</v>
      </c>
      <c r="F1054">
        <v>120</v>
      </c>
      <c r="G1054" s="3">
        <v>4</v>
      </c>
      <c r="H1054">
        <v>1401</v>
      </c>
      <c r="I1054" t="s">
        <v>181</v>
      </c>
      <c r="J1054">
        <v>12</v>
      </c>
      <c r="K1054">
        <v>13</v>
      </c>
      <c r="L1054">
        <v>9</v>
      </c>
      <c r="M1054">
        <v>8</v>
      </c>
    </row>
    <row r="1055" spans="1:13" x14ac:dyDescent="0.25">
      <c r="A1055">
        <v>1054</v>
      </c>
      <c r="B1055">
        <v>67</v>
      </c>
      <c r="C1055">
        <v>9</v>
      </c>
      <c r="D1055" s="2">
        <v>42554.930960648147</v>
      </c>
      <c r="E1055" t="s">
        <v>179</v>
      </c>
      <c r="F1055">
        <v>90</v>
      </c>
      <c r="G1055" s="3">
        <v>5</v>
      </c>
      <c r="H1055">
        <v>0</v>
      </c>
      <c r="I1055" t="s">
        <v>182</v>
      </c>
      <c r="J1055">
        <v>0</v>
      </c>
      <c r="K1055">
        <v>0</v>
      </c>
      <c r="L1055">
        <v>0</v>
      </c>
      <c r="M1055">
        <v>0</v>
      </c>
    </row>
    <row r="1056" spans="1:13" x14ac:dyDescent="0.25">
      <c r="A1056">
        <v>1055</v>
      </c>
      <c r="B1056">
        <v>67</v>
      </c>
      <c r="C1056">
        <v>21</v>
      </c>
      <c r="D1056" s="2">
        <v>42549.023055555554</v>
      </c>
      <c r="E1056" t="s">
        <v>179</v>
      </c>
      <c r="F1056">
        <v>0</v>
      </c>
      <c r="G1056" s="3">
        <v>6</v>
      </c>
      <c r="H1056">
        <v>1383</v>
      </c>
      <c r="I1056" t="s">
        <v>181</v>
      </c>
      <c r="J1056">
        <v>16</v>
      </c>
      <c r="K1056">
        <v>8</v>
      </c>
      <c r="L1056">
        <v>5</v>
      </c>
      <c r="M1056">
        <v>13</v>
      </c>
    </row>
    <row r="1057" spans="1:13" x14ac:dyDescent="0.25">
      <c r="A1057">
        <v>1056</v>
      </c>
      <c r="B1057">
        <v>67</v>
      </c>
      <c r="C1057">
        <v>2</v>
      </c>
      <c r="D1057" s="2">
        <v>42556.123842592591</v>
      </c>
      <c r="E1057" t="s">
        <v>179</v>
      </c>
      <c r="F1057">
        <v>60</v>
      </c>
      <c r="G1057" s="3">
        <v>7</v>
      </c>
      <c r="H1057">
        <v>1428</v>
      </c>
      <c r="I1057" t="s">
        <v>181</v>
      </c>
      <c r="J1057">
        <v>9</v>
      </c>
      <c r="K1057">
        <v>9</v>
      </c>
      <c r="L1057">
        <v>12</v>
      </c>
      <c r="M1057">
        <v>12</v>
      </c>
    </row>
    <row r="1058" spans="1:13" x14ac:dyDescent="0.25">
      <c r="A1058">
        <v>1057</v>
      </c>
      <c r="B1058">
        <v>67</v>
      </c>
      <c r="C1058">
        <v>4</v>
      </c>
      <c r="D1058" s="2">
        <v>42552.400636574072</v>
      </c>
      <c r="E1058" t="s">
        <v>179</v>
      </c>
      <c r="F1058">
        <v>60</v>
      </c>
      <c r="G1058" s="3">
        <v>8</v>
      </c>
      <c r="H1058">
        <v>1421</v>
      </c>
      <c r="I1058" t="s">
        <v>181</v>
      </c>
      <c r="J1058">
        <v>10</v>
      </c>
      <c r="K1058">
        <v>10</v>
      </c>
      <c r="L1058">
        <v>11</v>
      </c>
      <c r="M1058">
        <v>11</v>
      </c>
    </row>
    <row r="1059" spans="1:13" x14ac:dyDescent="0.25">
      <c r="A1059">
        <v>1058</v>
      </c>
      <c r="B1059">
        <v>67</v>
      </c>
      <c r="C1059">
        <v>18</v>
      </c>
      <c r="D1059" s="2">
        <v>42549.937164351853</v>
      </c>
      <c r="E1059" t="s">
        <v>179</v>
      </c>
      <c r="F1059">
        <v>30</v>
      </c>
      <c r="G1059" s="3">
        <v>9</v>
      </c>
      <c r="H1059">
        <v>0</v>
      </c>
      <c r="I1059" t="s">
        <v>182</v>
      </c>
      <c r="J1059">
        <v>0</v>
      </c>
      <c r="K1059">
        <v>0</v>
      </c>
      <c r="L1059">
        <v>0</v>
      </c>
      <c r="M1059">
        <v>0</v>
      </c>
    </row>
    <row r="1060" spans="1:13" x14ac:dyDescent="0.25">
      <c r="A1060">
        <v>1059</v>
      </c>
      <c r="B1060">
        <v>67</v>
      </c>
      <c r="C1060">
        <v>5</v>
      </c>
      <c r="D1060" s="2">
        <v>42555.591932870368</v>
      </c>
      <c r="E1060" t="s">
        <v>179</v>
      </c>
      <c r="F1060">
        <v>90</v>
      </c>
      <c r="G1060" s="3">
        <v>10</v>
      </c>
      <c r="H1060">
        <v>0</v>
      </c>
      <c r="I1060" t="s">
        <v>180</v>
      </c>
      <c r="J1060">
        <v>0</v>
      </c>
      <c r="K1060">
        <v>0</v>
      </c>
      <c r="L1060">
        <v>0</v>
      </c>
      <c r="M1060">
        <v>0</v>
      </c>
    </row>
    <row r="1061" spans="1:13" x14ac:dyDescent="0.25">
      <c r="A1061">
        <v>1060</v>
      </c>
      <c r="B1061">
        <v>67</v>
      </c>
      <c r="C1061">
        <v>28</v>
      </c>
      <c r="D1061" s="2">
        <v>42552.876504629632</v>
      </c>
      <c r="E1061" t="s">
        <v>179</v>
      </c>
      <c r="F1061">
        <v>240</v>
      </c>
      <c r="G1061" s="3">
        <v>11</v>
      </c>
      <c r="H1061">
        <v>1368</v>
      </c>
      <c r="I1061" t="s">
        <v>181</v>
      </c>
      <c r="J1061">
        <v>18</v>
      </c>
      <c r="K1061">
        <v>16</v>
      </c>
      <c r="L1061">
        <v>3</v>
      </c>
      <c r="M1061">
        <v>5</v>
      </c>
    </row>
    <row r="1062" spans="1:13" x14ac:dyDescent="0.25">
      <c r="A1062">
        <v>1061</v>
      </c>
      <c r="B1062">
        <v>67</v>
      </c>
      <c r="C1062">
        <v>22</v>
      </c>
      <c r="D1062" s="2">
        <v>42551.42759259259</v>
      </c>
      <c r="E1062" t="s">
        <v>179</v>
      </c>
      <c r="F1062">
        <v>0</v>
      </c>
      <c r="G1062" s="3">
        <v>12</v>
      </c>
      <c r="H1062">
        <v>1356</v>
      </c>
      <c r="I1062" t="s">
        <v>181</v>
      </c>
      <c r="J1062">
        <v>20</v>
      </c>
      <c r="K1062">
        <v>11</v>
      </c>
      <c r="L1062">
        <v>1</v>
      </c>
      <c r="M1062">
        <v>10</v>
      </c>
    </row>
    <row r="1063" spans="1:13" x14ac:dyDescent="0.25">
      <c r="A1063">
        <v>1062</v>
      </c>
      <c r="B1063">
        <v>67</v>
      </c>
      <c r="C1063">
        <v>11</v>
      </c>
      <c r="D1063" s="2">
        <v>42551.67591435185</v>
      </c>
      <c r="E1063" t="s">
        <v>179</v>
      </c>
      <c r="F1063">
        <v>150</v>
      </c>
      <c r="G1063" s="3">
        <v>13</v>
      </c>
      <c r="H1063">
        <v>1397</v>
      </c>
      <c r="I1063" t="s">
        <v>181</v>
      </c>
      <c r="J1063">
        <v>13</v>
      </c>
      <c r="K1063">
        <v>15</v>
      </c>
      <c r="L1063">
        <v>8</v>
      </c>
      <c r="M1063">
        <v>6</v>
      </c>
    </row>
    <row r="1064" spans="1:13" x14ac:dyDescent="0.25">
      <c r="A1064">
        <v>1063</v>
      </c>
      <c r="B1064">
        <v>67</v>
      </c>
      <c r="C1064">
        <v>25</v>
      </c>
      <c r="D1064" s="2">
        <v>42556.935844907406</v>
      </c>
      <c r="E1064" t="s">
        <v>179</v>
      </c>
      <c r="F1064">
        <v>270</v>
      </c>
      <c r="G1064" s="3">
        <v>14</v>
      </c>
      <c r="H1064">
        <v>1385</v>
      </c>
      <c r="I1064" t="s">
        <v>181</v>
      </c>
      <c r="J1064">
        <v>15</v>
      </c>
      <c r="K1064">
        <v>18</v>
      </c>
      <c r="L1064">
        <v>6</v>
      </c>
      <c r="M1064">
        <v>3</v>
      </c>
    </row>
    <row r="1065" spans="1:13" x14ac:dyDescent="0.25">
      <c r="A1065">
        <v>1064</v>
      </c>
      <c r="B1065">
        <v>67</v>
      </c>
      <c r="C1065">
        <v>1</v>
      </c>
      <c r="D1065" s="2">
        <v>42555.1952662037</v>
      </c>
      <c r="E1065" t="s">
        <v>179</v>
      </c>
      <c r="F1065">
        <v>120</v>
      </c>
      <c r="G1065" s="3">
        <v>15</v>
      </c>
      <c r="H1065">
        <v>0</v>
      </c>
      <c r="I1065" t="s">
        <v>182</v>
      </c>
      <c r="J1065">
        <v>0</v>
      </c>
      <c r="K1065">
        <v>0</v>
      </c>
      <c r="L1065">
        <v>0</v>
      </c>
      <c r="M1065">
        <v>0</v>
      </c>
    </row>
    <row r="1066" spans="1:13" x14ac:dyDescent="0.25">
      <c r="A1066">
        <v>1065</v>
      </c>
      <c r="B1066">
        <v>67</v>
      </c>
      <c r="C1066">
        <v>12</v>
      </c>
      <c r="D1066" s="2">
        <v>42551.769201388888</v>
      </c>
      <c r="E1066" t="s">
        <v>179</v>
      </c>
      <c r="F1066">
        <v>240</v>
      </c>
      <c r="G1066" s="3">
        <v>16</v>
      </c>
      <c r="H1066">
        <v>1357</v>
      </c>
      <c r="I1066" t="s">
        <v>181</v>
      </c>
      <c r="J1066">
        <v>19</v>
      </c>
      <c r="K1066">
        <v>17</v>
      </c>
      <c r="L1066">
        <v>2</v>
      </c>
      <c r="M1066">
        <v>4</v>
      </c>
    </row>
    <row r="1067" spans="1:13" x14ac:dyDescent="0.25">
      <c r="A1067">
        <v>1066</v>
      </c>
      <c r="B1067">
        <v>67</v>
      </c>
      <c r="C1067">
        <v>26</v>
      </c>
      <c r="D1067" s="2">
        <v>42553.696446759262</v>
      </c>
      <c r="E1067" t="s">
        <v>179</v>
      </c>
      <c r="F1067">
        <v>90</v>
      </c>
      <c r="G1067" s="3">
        <v>17</v>
      </c>
      <c r="H1067">
        <v>1475</v>
      </c>
      <c r="I1067" t="s">
        <v>181</v>
      </c>
      <c r="J1067">
        <v>8</v>
      </c>
      <c r="K1067">
        <v>7</v>
      </c>
      <c r="L1067">
        <v>13</v>
      </c>
      <c r="M1067">
        <v>14</v>
      </c>
    </row>
    <row r="1068" spans="1:13" x14ac:dyDescent="0.25">
      <c r="A1068">
        <v>1067</v>
      </c>
      <c r="B1068">
        <v>67</v>
      </c>
      <c r="C1068">
        <v>17</v>
      </c>
      <c r="D1068" s="2">
        <v>42552.622997685183</v>
      </c>
      <c r="E1068" t="s">
        <v>179</v>
      </c>
      <c r="F1068">
        <v>300</v>
      </c>
      <c r="G1068" s="3">
        <v>18</v>
      </c>
      <c r="H1068">
        <v>1396</v>
      </c>
      <c r="I1068" t="s">
        <v>181</v>
      </c>
      <c r="J1068">
        <v>14</v>
      </c>
      <c r="K1068">
        <v>20</v>
      </c>
      <c r="L1068">
        <v>7</v>
      </c>
      <c r="M1068">
        <v>1</v>
      </c>
    </row>
    <row r="1069" spans="1:13" x14ac:dyDescent="0.25">
      <c r="A1069">
        <v>1068</v>
      </c>
      <c r="B1069">
        <v>67</v>
      </c>
      <c r="C1069">
        <v>27</v>
      </c>
      <c r="D1069" s="2">
        <v>42552.509270833332</v>
      </c>
      <c r="E1069" t="s">
        <v>179</v>
      </c>
      <c r="F1069">
        <v>120</v>
      </c>
      <c r="G1069" s="3">
        <v>19</v>
      </c>
      <c r="H1069">
        <v>1369</v>
      </c>
      <c r="I1069" t="s">
        <v>181</v>
      </c>
      <c r="J1069">
        <v>17</v>
      </c>
      <c r="K1069">
        <v>14</v>
      </c>
      <c r="L1069">
        <v>4</v>
      </c>
      <c r="M1069">
        <v>7</v>
      </c>
    </row>
    <row r="1070" spans="1:13" x14ac:dyDescent="0.25">
      <c r="A1070">
        <v>1069</v>
      </c>
      <c r="B1070">
        <v>67</v>
      </c>
      <c r="C1070">
        <v>3</v>
      </c>
      <c r="D1070" s="2">
        <v>42553.436331018522</v>
      </c>
      <c r="E1070" t="s">
        <v>179</v>
      </c>
      <c r="F1070">
        <v>240</v>
      </c>
      <c r="G1070" s="3">
        <v>20</v>
      </c>
      <c r="H1070">
        <v>0</v>
      </c>
      <c r="I1070" t="s">
        <v>180</v>
      </c>
      <c r="J1070">
        <v>0</v>
      </c>
      <c r="K1070">
        <v>0</v>
      </c>
      <c r="L1070">
        <v>0</v>
      </c>
      <c r="M1070">
        <v>0</v>
      </c>
    </row>
    <row r="1071" spans="1:13" x14ac:dyDescent="0.25">
      <c r="A1071">
        <v>1070</v>
      </c>
      <c r="B1071">
        <v>68</v>
      </c>
      <c r="C1071">
        <v>11</v>
      </c>
      <c r="D1071" s="2">
        <v>42560.158263888887</v>
      </c>
      <c r="E1071" t="s">
        <v>179</v>
      </c>
      <c r="F1071">
        <v>60</v>
      </c>
      <c r="G1071" s="3">
        <v>1</v>
      </c>
      <c r="H1071">
        <v>1444</v>
      </c>
      <c r="I1071" t="s">
        <v>181</v>
      </c>
      <c r="J1071">
        <v>16</v>
      </c>
      <c r="K1071">
        <v>16</v>
      </c>
      <c r="L1071">
        <v>5</v>
      </c>
      <c r="M1071">
        <v>5</v>
      </c>
    </row>
    <row r="1072" spans="1:13" x14ac:dyDescent="0.25">
      <c r="A1072">
        <v>1071</v>
      </c>
      <c r="B1072">
        <v>68</v>
      </c>
      <c r="C1072">
        <v>28</v>
      </c>
      <c r="D1072" s="2">
        <v>42559.780428240738</v>
      </c>
      <c r="E1072" t="s">
        <v>179</v>
      </c>
      <c r="F1072">
        <v>150</v>
      </c>
      <c r="G1072" s="3">
        <v>2</v>
      </c>
      <c r="H1072">
        <v>1306</v>
      </c>
      <c r="I1072" t="s">
        <v>181</v>
      </c>
      <c r="J1072">
        <v>20</v>
      </c>
      <c r="K1072">
        <v>20</v>
      </c>
      <c r="L1072">
        <v>1</v>
      </c>
      <c r="M1072">
        <v>1</v>
      </c>
    </row>
    <row r="1073" spans="1:13" x14ac:dyDescent="0.25">
      <c r="A1073">
        <v>1072</v>
      </c>
      <c r="B1073">
        <v>68</v>
      </c>
      <c r="C1073">
        <v>9</v>
      </c>
      <c r="D1073" s="2">
        <v>42559.361620370371</v>
      </c>
      <c r="E1073" t="s">
        <v>179</v>
      </c>
      <c r="F1073">
        <v>240</v>
      </c>
      <c r="G1073" s="3">
        <v>3</v>
      </c>
      <c r="H1073">
        <v>1411</v>
      </c>
      <c r="I1073" t="s">
        <v>181</v>
      </c>
      <c r="J1073">
        <v>17</v>
      </c>
      <c r="K1073">
        <v>19</v>
      </c>
      <c r="L1073">
        <v>4</v>
      </c>
      <c r="M1073">
        <v>2</v>
      </c>
    </row>
    <row r="1074" spans="1:13" x14ac:dyDescent="0.25">
      <c r="A1074">
        <v>1073</v>
      </c>
      <c r="B1074">
        <v>68</v>
      </c>
      <c r="C1074">
        <v>18</v>
      </c>
      <c r="D1074" s="2">
        <v>42557.953229166669</v>
      </c>
      <c r="E1074" t="s">
        <v>179</v>
      </c>
      <c r="F1074">
        <v>0</v>
      </c>
      <c r="G1074" s="3">
        <v>4</v>
      </c>
      <c r="H1074">
        <v>0</v>
      </c>
      <c r="I1074" t="s">
        <v>182</v>
      </c>
      <c r="J1074">
        <v>0</v>
      </c>
      <c r="K1074">
        <v>0</v>
      </c>
      <c r="L1074">
        <v>0</v>
      </c>
      <c r="M1074">
        <v>0</v>
      </c>
    </row>
    <row r="1075" spans="1:13" x14ac:dyDescent="0.25">
      <c r="A1075">
        <v>1074</v>
      </c>
      <c r="B1075">
        <v>68</v>
      </c>
      <c r="C1075">
        <v>23</v>
      </c>
      <c r="D1075" s="2">
        <v>42560.159583333334</v>
      </c>
      <c r="E1075" t="s">
        <v>179</v>
      </c>
      <c r="F1075">
        <v>150</v>
      </c>
      <c r="G1075" s="3">
        <v>5</v>
      </c>
      <c r="H1075">
        <v>0</v>
      </c>
      <c r="I1075" t="s">
        <v>180</v>
      </c>
      <c r="J1075">
        <v>0</v>
      </c>
      <c r="K1075">
        <v>0</v>
      </c>
      <c r="L1075">
        <v>0</v>
      </c>
      <c r="M1075">
        <v>0</v>
      </c>
    </row>
    <row r="1076" spans="1:13" x14ac:dyDescent="0.25">
      <c r="A1076">
        <v>1075</v>
      </c>
      <c r="B1076">
        <v>68</v>
      </c>
      <c r="C1076">
        <v>8</v>
      </c>
      <c r="D1076" s="2">
        <v>42560.271365740744</v>
      </c>
      <c r="E1076" t="s">
        <v>179</v>
      </c>
      <c r="F1076">
        <v>120</v>
      </c>
      <c r="G1076" s="3">
        <v>6</v>
      </c>
      <c r="H1076">
        <v>1390</v>
      </c>
      <c r="I1076" t="s">
        <v>181</v>
      </c>
      <c r="J1076">
        <v>18</v>
      </c>
      <c r="K1076">
        <v>17</v>
      </c>
      <c r="L1076">
        <v>3</v>
      </c>
      <c r="M1076">
        <v>4</v>
      </c>
    </row>
    <row r="1077" spans="1:13" x14ac:dyDescent="0.25">
      <c r="A1077">
        <v>1076</v>
      </c>
      <c r="B1077">
        <v>68</v>
      </c>
      <c r="C1077">
        <v>4</v>
      </c>
      <c r="D1077" s="2">
        <v>42558.345960648148</v>
      </c>
      <c r="E1077" t="s">
        <v>179</v>
      </c>
      <c r="F1077">
        <v>150</v>
      </c>
      <c r="G1077" s="3">
        <v>7</v>
      </c>
      <c r="H1077">
        <v>1349</v>
      </c>
      <c r="I1077" t="s">
        <v>181</v>
      </c>
      <c r="J1077">
        <v>19</v>
      </c>
      <c r="K1077">
        <v>18</v>
      </c>
      <c r="L1077">
        <v>2</v>
      </c>
      <c r="M1077">
        <v>3</v>
      </c>
    </row>
    <row r="1078" spans="1:13" x14ac:dyDescent="0.25">
      <c r="A1078">
        <v>1077</v>
      </c>
      <c r="B1078">
        <v>68</v>
      </c>
      <c r="C1078">
        <v>14</v>
      </c>
      <c r="D1078" s="2">
        <v>42560.952141203707</v>
      </c>
      <c r="E1078" t="s">
        <v>179</v>
      </c>
      <c r="F1078">
        <v>30</v>
      </c>
      <c r="G1078" s="3">
        <v>8</v>
      </c>
      <c r="H1078">
        <v>1450</v>
      </c>
      <c r="I1078" t="s">
        <v>181</v>
      </c>
      <c r="J1078">
        <v>15</v>
      </c>
      <c r="K1078">
        <v>15</v>
      </c>
      <c r="L1078">
        <v>6</v>
      </c>
      <c r="M1078">
        <v>6</v>
      </c>
    </row>
    <row r="1079" spans="1:13" x14ac:dyDescent="0.25">
      <c r="A1079">
        <v>1078</v>
      </c>
      <c r="B1079">
        <v>68</v>
      </c>
      <c r="C1079">
        <v>24</v>
      </c>
      <c r="D1079" s="2">
        <v>42556.214375000003</v>
      </c>
      <c r="E1079" t="s">
        <v>179</v>
      </c>
      <c r="F1079">
        <v>0</v>
      </c>
      <c r="G1079" s="3">
        <v>9</v>
      </c>
      <c r="H1079">
        <v>0</v>
      </c>
      <c r="I1079" t="s">
        <v>180</v>
      </c>
      <c r="J1079">
        <v>0</v>
      </c>
      <c r="K1079">
        <v>0</v>
      </c>
      <c r="L1079">
        <v>0</v>
      </c>
      <c r="M1079">
        <v>0</v>
      </c>
    </row>
    <row r="1080" spans="1:13" x14ac:dyDescent="0.25">
      <c r="A1080">
        <v>1079</v>
      </c>
      <c r="B1080">
        <v>69</v>
      </c>
      <c r="C1080">
        <v>21</v>
      </c>
      <c r="D1080" s="2">
        <v>42561.412777777776</v>
      </c>
      <c r="E1080" t="s">
        <v>179</v>
      </c>
      <c r="F1080">
        <v>180</v>
      </c>
      <c r="G1080" s="3">
        <v>1</v>
      </c>
      <c r="H1080">
        <v>1729</v>
      </c>
      <c r="I1080" t="s">
        <v>181</v>
      </c>
      <c r="J1080">
        <v>14</v>
      </c>
      <c r="K1080">
        <v>12</v>
      </c>
      <c r="L1080">
        <v>7</v>
      </c>
      <c r="M1080">
        <v>9</v>
      </c>
    </row>
    <row r="1081" spans="1:13" x14ac:dyDescent="0.25">
      <c r="A1081">
        <v>1080</v>
      </c>
      <c r="B1081">
        <v>69</v>
      </c>
      <c r="C1081">
        <v>30</v>
      </c>
      <c r="D1081" s="2">
        <v>42561.631238425929</v>
      </c>
      <c r="E1081" t="s">
        <v>179</v>
      </c>
      <c r="F1081">
        <v>300</v>
      </c>
      <c r="G1081" s="3">
        <v>2</v>
      </c>
      <c r="H1081">
        <v>1715</v>
      </c>
      <c r="I1081" t="s">
        <v>181</v>
      </c>
      <c r="J1081">
        <v>16</v>
      </c>
      <c r="K1081">
        <v>18</v>
      </c>
      <c r="L1081">
        <v>5</v>
      </c>
      <c r="M1081">
        <v>3</v>
      </c>
    </row>
    <row r="1082" spans="1:13" x14ac:dyDescent="0.25">
      <c r="A1082">
        <v>1081</v>
      </c>
      <c r="B1082">
        <v>69</v>
      </c>
      <c r="C1082">
        <v>10</v>
      </c>
      <c r="D1082" s="2">
        <v>42560.921215277776</v>
      </c>
      <c r="E1082" t="s">
        <v>179</v>
      </c>
      <c r="F1082">
        <v>120</v>
      </c>
      <c r="G1082" s="3">
        <v>3</v>
      </c>
      <c r="H1082">
        <v>1701</v>
      </c>
      <c r="I1082" t="s">
        <v>181</v>
      </c>
      <c r="J1082">
        <v>17</v>
      </c>
      <c r="K1082">
        <v>10</v>
      </c>
      <c r="L1082">
        <v>4</v>
      </c>
      <c r="M1082">
        <v>11</v>
      </c>
    </row>
    <row r="1083" spans="1:13" x14ac:dyDescent="0.25">
      <c r="A1083">
        <v>1082</v>
      </c>
      <c r="B1083">
        <v>69</v>
      </c>
      <c r="C1083">
        <v>15</v>
      </c>
      <c r="D1083" s="2">
        <v>42560.180636574078</v>
      </c>
      <c r="E1083" t="s">
        <v>179</v>
      </c>
      <c r="F1083">
        <v>240</v>
      </c>
      <c r="G1083" s="3">
        <v>4</v>
      </c>
      <c r="H1083">
        <v>1749</v>
      </c>
      <c r="I1083" t="s">
        <v>181</v>
      </c>
      <c r="J1083">
        <v>10</v>
      </c>
      <c r="K1083">
        <v>13</v>
      </c>
      <c r="L1083">
        <v>11</v>
      </c>
      <c r="M1083">
        <v>8</v>
      </c>
    </row>
    <row r="1084" spans="1:13" x14ac:dyDescent="0.25">
      <c r="A1084">
        <v>1083</v>
      </c>
      <c r="B1084">
        <v>69</v>
      </c>
      <c r="C1084">
        <v>20</v>
      </c>
      <c r="D1084" s="2">
        <v>42565.440069444441</v>
      </c>
      <c r="E1084" t="s">
        <v>179</v>
      </c>
      <c r="F1084">
        <v>60</v>
      </c>
      <c r="G1084" s="3">
        <v>5</v>
      </c>
      <c r="H1084">
        <v>1735</v>
      </c>
      <c r="I1084" t="s">
        <v>181</v>
      </c>
      <c r="J1084">
        <v>13</v>
      </c>
      <c r="K1084">
        <v>7</v>
      </c>
      <c r="L1084">
        <v>8</v>
      </c>
      <c r="M1084">
        <v>14</v>
      </c>
    </row>
    <row r="1085" spans="1:13" x14ac:dyDescent="0.25">
      <c r="A1085">
        <v>1084</v>
      </c>
      <c r="B1085">
        <v>69</v>
      </c>
      <c r="C1085">
        <v>24</v>
      </c>
      <c r="D1085" s="2">
        <v>42565.949490740742</v>
      </c>
      <c r="E1085" t="s">
        <v>179</v>
      </c>
      <c r="F1085">
        <v>150</v>
      </c>
      <c r="G1085" s="3">
        <v>6</v>
      </c>
      <c r="H1085">
        <v>1721</v>
      </c>
      <c r="I1085" t="s">
        <v>181</v>
      </c>
      <c r="J1085">
        <v>15</v>
      </c>
      <c r="K1085">
        <v>11</v>
      </c>
      <c r="L1085">
        <v>6</v>
      </c>
      <c r="M1085">
        <v>10</v>
      </c>
    </row>
    <row r="1086" spans="1:13" x14ac:dyDescent="0.25">
      <c r="A1086">
        <v>1085</v>
      </c>
      <c r="B1086">
        <v>69</v>
      </c>
      <c r="C1086">
        <v>11</v>
      </c>
      <c r="D1086" s="2">
        <v>42564.240173611113</v>
      </c>
      <c r="E1086" t="s">
        <v>179</v>
      </c>
      <c r="F1086">
        <v>30</v>
      </c>
      <c r="G1086" s="3">
        <v>7</v>
      </c>
      <c r="H1086">
        <v>1769</v>
      </c>
      <c r="I1086" t="s">
        <v>181</v>
      </c>
      <c r="J1086">
        <v>6</v>
      </c>
      <c r="K1086">
        <v>6</v>
      </c>
      <c r="L1086">
        <v>15</v>
      </c>
      <c r="M1086">
        <v>15</v>
      </c>
    </row>
    <row r="1087" spans="1:13" x14ac:dyDescent="0.25">
      <c r="A1087">
        <v>1086</v>
      </c>
      <c r="B1087">
        <v>69</v>
      </c>
      <c r="C1087">
        <v>1</v>
      </c>
      <c r="D1087" s="2">
        <v>42562.499409722222</v>
      </c>
      <c r="E1087" t="s">
        <v>179</v>
      </c>
      <c r="F1087">
        <v>90</v>
      </c>
      <c r="G1087" s="3">
        <v>8</v>
      </c>
      <c r="H1087">
        <v>1755</v>
      </c>
      <c r="I1087" t="s">
        <v>181</v>
      </c>
      <c r="J1087">
        <v>8</v>
      </c>
      <c r="K1087">
        <v>8</v>
      </c>
      <c r="L1087">
        <v>13</v>
      </c>
      <c r="M1087">
        <v>13</v>
      </c>
    </row>
    <row r="1088" spans="1:13" x14ac:dyDescent="0.25">
      <c r="A1088">
        <v>1087</v>
      </c>
      <c r="B1088">
        <v>69</v>
      </c>
      <c r="C1088">
        <v>18</v>
      </c>
      <c r="D1088" s="2">
        <v>42562.717858796299</v>
      </c>
      <c r="E1088" t="s">
        <v>179</v>
      </c>
      <c r="F1088">
        <v>300</v>
      </c>
      <c r="G1088" s="3">
        <v>9</v>
      </c>
      <c r="H1088">
        <v>1741</v>
      </c>
      <c r="I1088" t="s">
        <v>181</v>
      </c>
      <c r="J1088">
        <v>11</v>
      </c>
      <c r="K1088">
        <v>17</v>
      </c>
      <c r="L1088">
        <v>10</v>
      </c>
      <c r="M1088">
        <v>4</v>
      </c>
    </row>
    <row r="1089" spans="1:13" x14ac:dyDescent="0.25">
      <c r="A1089">
        <v>1088</v>
      </c>
      <c r="B1089">
        <v>69</v>
      </c>
      <c r="C1089">
        <v>23</v>
      </c>
      <c r="D1089" s="2">
        <v>42561.966180555559</v>
      </c>
      <c r="E1089" t="s">
        <v>179</v>
      </c>
      <c r="F1089">
        <v>60</v>
      </c>
      <c r="G1089" s="3">
        <v>10</v>
      </c>
      <c r="H1089">
        <v>1556</v>
      </c>
      <c r="I1089" t="s">
        <v>181</v>
      </c>
      <c r="J1089">
        <v>19</v>
      </c>
      <c r="K1089">
        <v>14</v>
      </c>
      <c r="L1089">
        <v>2</v>
      </c>
      <c r="M1089">
        <v>7</v>
      </c>
    </row>
    <row r="1090" spans="1:13" x14ac:dyDescent="0.25">
      <c r="A1090">
        <v>1089</v>
      </c>
      <c r="B1090">
        <v>69</v>
      </c>
      <c r="C1090">
        <v>29</v>
      </c>
      <c r="D1090" s="2">
        <v>42561.2262962963</v>
      </c>
      <c r="E1090" t="s">
        <v>179</v>
      </c>
      <c r="F1090">
        <v>240</v>
      </c>
      <c r="G1090" s="3">
        <v>11</v>
      </c>
      <c r="H1090">
        <v>0</v>
      </c>
      <c r="I1090" t="s">
        <v>180</v>
      </c>
      <c r="J1090">
        <v>0</v>
      </c>
      <c r="K1090">
        <v>0</v>
      </c>
      <c r="L1090">
        <v>0</v>
      </c>
      <c r="M1090">
        <v>0</v>
      </c>
    </row>
    <row r="1091" spans="1:13" x14ac:dyDescent="0.25">
      <c r="A1091">
        <v>1090</v>
      </c>
      <c r="B1091">
        <v>69</v>
      </c>
      <c r="C1091">
        <v>17</v>
      </c>
      <c r="D1091" s="2">
        <v>42562.005196759259</v>
      </c>
      <c r="E1091" t="s">
        <v>179</v>
      </c>
      <c r="F1091">
        <v>180</v>
      </c>
      <c r="G1091" s="3">
        <v>12</v>
      </c>
      <c r="H1091">
        <v>1765</v>
      </c>
      <c r="I1091" t="s">
        <v>181</v>
      </c>
      <c r="J1091">
        <v>7</v>
      </c>
      <c r="K1091">
        <v>9</v>
      </c>
      <c r="L1091">
        <v>14</v>
      </c>
      <c r="M1091">
        <v>12</v>
      </c>
    </row>
    <row r="1092" spans="1:13" x14ac:dyDescent="0.25">
      <c r="A1092">
        <v>1091</v>
      </c>
      <c r="B1092">
        <v>69</v>
      </c>
      <c r="C1092">
        <v>5</v>
      </c>
      <c r="D1092" s="2">
        <v>42565.918576388889</v>
      </c>
      <c r="E1092" t="s">
        <v>179</v>
      </c>
      <c r="F1092">
        <v>270</v>
      </c>
      <c r="G1092" s="3">
        <v>13</v>
      </c>
      <c r="H1092">
        <v>1740</v>
      </c>
      <c r="I1092" t="s">
        <v>181</v>
      </c>
      <c r="J1092">
        <v>12</v>
      </c>
      <c r="K1092">
        <v>16</v>
      </c>
      <c r="L1092">
        <v>9</v>
      </c>
      <c r="M1092">
        <v>5</v>
      </c>
    </row>
    <row r="1093" spans="1:13" x14ac:dyDescent="0.25">
      <c r="A1093">
        <v>1092</v>
      </c>
      <c r="B1093">
        <v>69</v>
      </c>
      <c r="C1093">
        <v>19</v>
      </c>
      <c r="D1093" s="2">
        <v>42565.164583333331</v>
      </c>
      <c r="E1093" t="s">
        <v>179</v>
      </c>
      <c r="F1093">
        <v>270</v>
      </c>
      <c r="G1093" s="3">
        <v>14</v>
      </c>
      <c r="H1093">
        <v>0</v>
      </c>
      <c r="I1093" t="s">
        <v>180</v>
      </c>
      <c r="J1093">
        <v>0</v>
      </c>
      <c r="K1093">
        <v>0</v>
      </c>
      <c r="L1093">
        <v>0</v>
      </c>
      <c r="M1093">
        <v>0</v>
      </c>
    </row>
    <row r="1094" spans="1:13" x14ac:dyDescent="0.25">
      <c r="A1094">
        <v>1093</v>
      </c>
      <c r="B1094">
        <v>69</v>
      </c>
      <c r="C1094">
        <v>31</v>
      </c>
      <c r="D1094" s="2">
        <v>42565.476446759261</v>
      </c>
      <c r="E1094" t="s">
        <v>179</v>
      </c>
      <c r="F1094">
        <v>270</v>
      </c>
      <c r="G1094" s="3">
        <v>15</v>
      </c>
      <c r="H1094">
        <v>1751</v>
      </c>
      <c r="I1094" t="s">
        <v>181</v>
      </c>
      <c r="J1094">
        <v>9</v>
      </c>
      <c r="K1094">
        <v>15</v>
      </c>
      <c r="L1094">
        <v>12</v>
      </c>
      <c r="M1094">
        <v>6</v>
      </c>
    </row>
    <row r="1095" spans="1:13" x14ac:dyDescent="0.25">
      <c r="A1095">
        <v>1094</v>
      </c>
      <c r="B1095">
        <v>69</v>
      </c>
      <c r="C1095">
        <v>8</v>
      </c>
      <c r="D1095" s="2">
        <v>42561.334733796299</v>
      </c>
      <c r="E1095" t="s">
        <v>179</v>
      </c>
      <c r="F1095">
        <v>240</v>
      </c>
      <c r="G1095" s="3">
        <v>16</v>
      </c>
      <c r="H1095">
        <v>1651</v>
      </c>
      <c r="I1095" t="s">
        <v>181</v>
      </c>
      <c r="J1095">
        <v>18</v>
      </c>
      <c r="K1095">
        <v>19</v>
      </c>
      <c r="L1095">
        <v>3</v>
      </c>
      <c r="M1095">
        <v>2</v>
      </c>
    </row>
    <row r="1096" spans="1:13" x14ac:dyDescent="0.25">
      <c r="A1096">
        <v>1095</v>
      </c>
      <c r="B1096">
        <v>69</v>
      </c>
      <c r="C1096">
        <v>4</v>
      </c>
      <c r="D1096" s="2">
        <v>42564.276550925926</v>
      </c>
      <c r="E1096" t="s">
        <v>179</v>
      </c>
      <c r="F1096">
        <v>180</v>
      </c>
      <c r="G1096" s="3">
        <v>17</v>
      </c>
      <c r="H1096">
        <v>1552</v>
      </c>
      <c r="I1096" t="s">
        <v>181</v>
      </c>
      <c r="J1096">
        <v>20</v>
      </c>
      <c r="K1096">
        <v>20</v>
      </c>
      <c r="L1096">
        <v>1</v>
      </c>
      <c r="M1096">
        <v>1</v>
      </c>
    </row>
    <row r="1097" spans="1:13" x14ac:dyDescent="0.25">
      <c r="A1097">
        <v>1096</v>
      </c>
      <c r="B1097">
        <v>70</v>
      </c>
      <c r="C1097">
        <v>25</v>
      </c>
      <c r="D1097" s="2">
        <v>42570.293009259258</v>
      </c>
      <c r="E1097" t="s">
        <v>179</v>
      </c>
      <c r="F1097">
        <v>240</v>
      </c>
      <c r="G1097" s="3">
        <v>1</v>
      </c>
      <c r="H1097">
        <v>1898</v>
      </c>
      <c r="I1097" t="s">
        <v>181</v>
      </c>
      <c r="J1097">
        <v>8</v>
      </c>
      <c r="K1097">
        <v>14</v>
      </c>
      <c r="L1097">
        <v>13</v>
      </c>
      <c r="M1097">
        <v>7</v>
      </c>
    </row>
    <row r="1098" spans="1:13" x14ac:dyDescent="0.25">
      <c r="A1098">
        <v>1097</v>
      </c>
      <c r="B1098">
        <v>70</v>
      </c>
      <c r="C1098">
        <v>31</v>
      </c>
      <c r="D1098" s="2">
        <v>42565.245740740742</v>
      </c>
      <c r="E1098" t="s">
        <v>179</v>
      </c>
      <c r="F1098">
        <v>180</v>
      </c>
      <c r="G1098" s="3">
        <v>2</v>
      </c>
      <c r="H1098">
        <v>0</v>
      </c>
      <c r="I1098" t="s">
        <v>180</v>
      </c>
      <c r="J1098">
        <v>0</v>
      </c>
      <c r="K1098">
        <v>0</v>
      </c>
      <c r="L1098">
        <v>0</v>
      </c>
      <c r="M1098">
        <v>0</v>
      </c>
    </row>
    <row r="1099" spans="1:13" x14ac:dyDescent="0.25">
      <c r="A1099">
        <v>1098</v>
      </c>
      <c r="B1099">
        <v>70</v>
      </c>
      <c r="C1099">
        <v>22</v>
      </c>
      <c r="D1099" s="2">
        <v>42572.315162037034</v>
      </c>
      <c r="E1099" t="s">
        <v>179</v>
      </c>
      <c r="F1099">
        <v>120</v>
      </c>
      <c r="G1099" s="3">
        <v>3</v>
      </c>
      <c r="H1099">
        <v>1866</v>
      </c>
      <c r="I1099" t="s">
        <v>181</v>
      </c>
      <c r="J1099">
        <v>12</v>
      </c>
      <c r="K1099">
        <v>8</v>
      </c>
      <c r="L1099">
        <v>9</v>
      </c>
      <c r="M1099">
        <v>13</v>
      </c>
    </row>
    <row r="1100" spans="1:13" x14ac:dyDescent="0.25">
      <c r="A1100">
        <v>1099</v>
      </c>
      <c r="B1100">
        <v>70</v>
      </c>
      <c r="C1100">
        <v>16</v>
      </c>
      <c r="D1100" s="2">
        <v>42565.910219907404</v>
      </c>
      <c r="E1100" t="s">
        <v>179</v>
      </c>
      <c r="F1100">
        <v>0</v>
      </c>
      <c r="G1100" s="3">
        <v>4</v>
      </c>
      <c r="H1100">
        <v>1932</v>
      </c>
      <c r="I1100" t="s">
        <v>181</v>
      </c>
      <c r="J1100">
        <v>6</v>
      </c>
      <c r="K1100">
        <v>4</v>
      </c>
      <c r="L1100">
        <v>15</v>
      </c>
      <c r="M1100">
        <v>17</v>
      </c>
    </row>
    <row r="1101" spans="1:13" x14ac:dyDescent="0.25">
      <c r="A1101">
        <v>1100</v>
      </c>
      <c r="B1101">
        <v>70</v>
      </c>
      <c r="C1101">
        <v>15</v>
      </c>
      <c r="D1101" s="2">
        <v>42567.474722222221</v>
      </c>
      <c r="E1101" t="s">
        <v>179</v>
      </c>
      <c r="F1101">
        <v>180</v>
      </c>
      <c r="G1101" s="3">
        <v>5</v>
      </c>
      <c r="H1101">
        <v>1809</v>
      </c>
      <c r="I1101" t="s">
        <v>181</v>
      </c>
      <c r="J1101">
        <v>15</v>
      </c>
      <c r="K1101">
        <v>16</v>
      </c>
      <c r="L1101">
        <v>6</v>
      </c>
      <c r="M1101">
        <v>5</v>
      </c>
    </row>
    <row r="1102" spans="1:13" x14ac:dyDescent="0.25">
      <c r="A1102">
        <v>1101</v>
      </c>
      <c r="B1102">
        <v>70</v>
      </c>
      <c r="C1102">
        <v>3</v>
      </c>
      <c r="D1102" s="2">
        <v>42569.777939814812</v>
      </c>
      <c r="E1102" t="s">
        <v>179</v>
      </c>
      <c r="F1102">
        <v>150</v>
      </c>
      <c r="G1102" s="3">
        <v>6</v>
      </c>
      <c r="H1102">
        <v>1875</v>
      </c>
      <c r="I1102" t="s">
        <v>181</v>
      </c>
      <c r="J1102">
        <v>11</v>
      </c>
      <c r="K1102">
        <v>11</v>
      </c>
      <c r="L1102">
        <v>10</v>
      </c>
      <c r="M1102">
        <v>10</v>
      </c>
    </row>
    <row r="1103" spans="1:13" x14ac:dyDescent="0.25">
      <c r="A1103">
        <v>1102</v>
      </c>
      <c r="B1103">
        <v>70</v>
      </c>
      <c r="C1103">
        <v>13</v>
      </c>
      <c r="D1103" s="2">
        <v>42569.372997685183</v>
      </c>
      <c r="E1103" t="s">
        <v>179</v>
      </c>
      <c r="F1103">
        <v>30</v>
      </c>
      <c r="G1103" s="3">
        <v>7</v>
      </c>
      <c r="H1103">
        <v>1941</v>
      </c>
      <c r="I1103" t="s">
        <v>181</v>
      </c>
      <c r="J1103">
        <v>5</v>
      </c>
      <c r="K1103">
        <v>5</v>
      </c>
      <c r="L1103">
        <v>16</v>
      </c>
      <c r="M1103">
        <v>16</v>
      </c>
    </row>
    <row r="1104" spans="1:13" x14ac:dyDescent="0.25">
      <c r="A1104">
        <v>1103</v>
      </c>
      <c r="B1104">
        <v>70</v>
      </c>
      <c r="C1104">
        <v>4</v>
      </c>
      <c r="D1104" s="2">
        <v>42571.938020833331</v>
      </c>
      <c r="E1104" t="s">
        <v>179</v>
      </c>
      <c r="F1104">
        <v>240</v>
      </c>
      <c r="G1104" s="3">
        <v>8</v>
      </c>
      <c r="H1104">
        <v>1750</v>
      </c>
      <c r="I1104" t="s">
        <v>181</v>
      </c>
      <c r="J1104">
        <v>20</v>
      </c>
      <c r="K1104">
        <v>19</v>
      </c>
      <c r="L1104">
        <v>1</v>
      </c>
      <c r="M1104">
        <v>2</v>
      </c>
    </row>
    <row r="1105" spans="1:13" x14ac:dyDescent="0.25">
      <c r="A1105">
        <v>1104</v>
      </c>
      <c r="B1105">
        <v>70</v>
      </c>
      <c r="C1105">
        <v>28</v>
      </c>
      <c r="D1105" s="2">
        <v>42565.491412037038</v>
      </c>
      <c r="E1105" t="s">
        <v>179</v>
      </c>
      <c r="F1105">
        <v>90</v>
      </c>
      <c r="G1105" s="3">
        <v>9</v>
      </c>
      <c r="H1105">
        <v>1816</v>
      </c>
      <c r="I1105" t="s">
        <v>181</v>
      </c>
      <c r="J1105">
        <v>13</v>
      </c>
      <c r="K1105">
        <v>10</v>
      </c>
      <c r="L1105">
        <v>8</v>
      </c>
      <c r="M1105">
        <v>11</v>
      </c>
    </row>
    <row r="1106" spans="1:13" x14ac:dyDescent="0.25">
      <c r="A1106">
        <v>1105</v>
      </c>
      <c r="B1106">
        <v>70</v>
      </c>
      <c r="C1106">
        <v>24</v>
      </c>
      <c r="D1106" s="2">
        <v>42572.055219907408</v>
      </c>
      <c r="E1106" t="s">
        <v>179</v>
      </c>
      <c r="F1106">
        <v>300</v>
      </c>
      <c r="G1106" s="3">
        <v>10</v>
      </c>
      <c r="H1106">
        <v>1881</v>
      </c>
      <c r="I1106" t="s">
        <v>181</v>
      </c>
      <c r="J1106">
        <v>10</v>
      </c>
      <c r="K1106">
        <v>17</v>
      </c>
      <c r="L1106">
        <v>11</v>
      </c>
      <c r="M1106">
        <v>4</v>
      </c>
    </row>
    <row r="1107" spans="1:13" x14ac:dyDescent="0.25">
      <c r="A1107">
        <v>1106</v>
      </c>
      <c r="B1107">
        <v>70</v>
      </c>
      <c r="C1107">
        <v>9</v>
      </c>
      <c r="D1107" s="2">
        <v>42566.650104166663</v>
      </c>
      <c r="E1107" t="s">
        <v>179</v>
      </c>
      <c r="F1107">
        <v>240</v>
      </c>
      <c r="G1107" s="3">
        <v>11</v>
      </c>
      <c r="H1107">
        <v>1947</v>
      </c>
      <c r="I1107" t="s">
        <v>181</v>
      </c>
      <c r="J1107">
        <v>4</v>
      </c>
      <c r="K1107">
        <v>12</v>
      </c>
      <c r="L1107">
        <v>17</v>
      </c>
      <c r="M1107">
        <v>9</v>
      </c>
    </row>
    <row r="1108" spans="1:13" x14ac:dyDescent="0.25">
      <c r="A1108">
        <v>1107</v>
      </c>
      <c r="B1108">
        <v>70</v>
      </c>
      <c r="C1108">
        <v>27</v>
      </c>
      <c r="D1108" s="2">
        <v>42568.922939814816</v>
      </c>
      <c r="E1108" t="s">
        <v>179</v>
      </c>
      <c r="F1108">
        <v>90</v>
      </c>
      <c r="G1108" s="3">
        <v>12</v>
      </c>
      <c r="H1108">
        <v>0</v>
      </c>
      <c r="I1108" t="s">
        <v>180</v>
      </c>
      <c r="J1108">
        <v>0</v>
      </c>
      <c r="K1108">
        <v>0</v>
      </c>
      <c r="L1108">
        <v>0</v>
      </c>
      <c r="M1108">
        <v>0</v>
      </c>
    </row>
    <row r="1109" spans="1:13" x14ac:dyDescent="0.25">
      <c r="A1109">
        <v>1108</v>
      </c>
      <c r="B1109">
        <v>70</v>
      </c>
      <c r="C1109">
        <v>14</v>
      </c>
      <c r="D1109" s="2">
        <v>42571.194803240738</v>
      </c>
      <c r="E1109" t="s">
        <v>179</v>
      </c>
      <c r="F1109">
        <v>120</v>
      </c>
      <c r="G1109" s="3">
        <v>13</v>
      </c>
      <c r="H1109">
        <v>1777</v>
      </c>
      <c r="I1109" t="s">
        <v>181</v>
      </c>
      <c r="J1109">
        <v>17</v>
      </c>
      <c r="K1109">
        <v>15</v>
      </c>
      <c r="L1109">
        <v>4</v>
      </c>
      <c r="M1109">
        <v>6</v>
      </c>
    </row>
    <row r="1110" spans="1:13" x14ac:dyDescent="0.25">
      <c r="A1110">
        <v>1109</v>
      </c>
      <c r="B1110">
        <v>70</v>
      </c>
      <c r="C1110">
        <v>7</v>
      </c>
      <c r="D1110" s="2">
        <v>42570.443113425928</v>
      </c>
      <c r="E1110" t="s">
        <v>179</v>
      </c>
      <c r="F1110">
        <v>300</v>
      </c>
      <c r="G1110" s="3">
        <v>14</v>
      </c>
      <c r="H1110">
        <v>1762</v>
      </c>
      <c r="I1110" t="s">
        <v>181</v>
      </c>
      <c r="J1110">
        <v>19</v>
      </c>
      <c r="K1110">
        <v>20</v>
      </c>
      <c r="L1110">
        <v>2</v>
      </c>
      <c r="M1110">
        <v>1</v>
      </c>
    </row>
    <row r="1111" spans="1:13" x14ac:dyDescent="0.25">
      <c r="A1111">
        <v>1110</v>
      </c>
      <c r="B1111">
        <v>70</v>
      </c>
      <c r="C1111">
        <v>26</v>
      </c>
      <c r="D1111" s="2">
        <v>42569.744201388887</v>
      </c>
      <c r="E1111" t="s">
        <v>179</v>
      </c>
      <c r="F1111">
        <v>60</v>
      </c>
      <c r="G1111" s="3">
        <v>15</v>
      </c>
      <c r="H1111">
        <v>1815</v>
      </c>
      <c r="I1111" t="s">
        <v>181</v>
      </c>
      <c r="J1111">
        <v>14</v>
      </c>
      <c r="K1111">
        <v>7</v>
      </c>
      <c r="L1111">
        <v>7</v>
      </c>
      <c r="M1111">
        <v>14</v>
      </c>
    </row>
    <row r="1112" spans="1:13" x14ac:dyDescent="0.25">
      <c r="A1112">
        <v>1111</v>
      </c>
      <c r="B1112">
        <v>70</v>
      </c>
      <c r="C1112">
        <v>30</v>
      </c>
      <c r="D1112" s="2">
        <v>42569.961967592593</v>
      </c>
      <c r="E1112" t="s">
        <v>179</v>
      </c>
      <c r="F1112">
        <v>270</v>
      </c>
      <c r="G1112" s="3">
        <v>16</v>
      </c>
      <c r="H1112">
        <v>1799</v>
      </c>
      <c r="I1112" t="s">
        <v>181</v>
      </c>
      <c r="J1112">
        <v>16</v>
      </c>
      <c r="K1112">
        <v>18</v>
      </c>
      <c r="L1112">
        <v>5</v>
      </c>
      <c r="M1112">
        <v>3</v>
      </c>
    </row>
    <row r="1113" spans="1:13" x14ac:dyDescent="0.25">
      <c r="A1113">
        <v>1112</v>
      </c>
      <c r="B1113">
        <v>70</v>
      </c>
      <c r="C1113">
        <v>29</v>
      </c>
      <c r="D1113" s="2">
        <v>42568.472083333334</v>
      </c>
      <c r="E1113" t="s">
        <v>179</v>
      </c>
      <c r="F1113">
        <v>30</v>
      </c>
      <c r="G1113" s="3">
        <v>17</v>
      </c>
      <c r="H1113">
        <v>0</v>
      </c>
      <c r="I1113" t="s">
        <v>182</v>
      </c>
      <c r="J1113">
        <v>0</v>
      </c>
      <c r="K1113">
        <v>0</v>
      </c>
      <c r="L1113">
        <v>0</v>
      </c>
      <c r="M1113">
        <v>0</v>
      </c>
    </row>
    <row r="1114" spans="1:13" x14ac:dyDescent="0.25">
      <c r="A1114">
        <v>1113</v>
      </c>
      <c r="B1114">
        <v>70</v>
      </c>
      <c r="C1114">
        <v>18</v>
      </c>
      <c r="D1114" s="2">
        <v>42567.364085648151</v>
      </c>
      <c r="E1114" t="s">
        <v>179</v>
      </c>
      <c r="F1114">
        <v>90</v>
      </c>
      <c r="G1114" s="3">
        <v>18</v>
      </c>
      <c r="H1114">
        <v>1770</v>
      </c>
      <c r="I1114" t="s">
        <v>181</v>
      </c>
      <c r="J1114">
        <v>18</v>
      </c>
      <c r="K1114">
        <v>13</v>
      </c>
      <c r="L1114">
        <v>3</v>
      </c>
      <c r="M1114">
        <v>8</v>
      </c>
    </row>
    <row r="1115" spans="1:13" x14ac:dyDescent="0.25">
      <c r="A1115">
        <v>1114</v>
      </c>
      <c r="B1115">
        <v>70</v>
      </c>
      <c r="C1115">
        <v>17</v>
      </c>
      <c r="D1115" s="2">
        <v>42569.958692129629</v>
      </c>
      <c r="E1115" t="s">
        <v>179</v>
      </c>
      <c r="F1115">
        <v>180</v>
      </c>
      <c r="G1115" s="3">
        <v>19</v>
      </c>
      <c r="H1115">
        <v>1924</v>
      </c>
      <c r="I1115" t="s">
        <v>181</v>
      </c>
      <c r="J1115">
        <v>7</v>
      </c>
      <c r="K1115">
        <v>9</v>
      </c>
      <c r="L1115">
        <v>14</v>
      </c>
      <c r="M1115">
        <v>12</v>
      </c>
    </row>
    <row r="1116" spans="1:13" x14ac:dyDescent="0.25">
      <c r="A1116">
        <v>1115</v>
      </c>
      <c r="B1116">
        <v>70</v>
      </c>
      <c r="C1116">
        <v>11</v>
      </c>
      <c r="D1116" s="2">
        <v>42568.885937500003</v>
      </c>
      <c r="E1116" t="s">
        <v>179</v>
      </c>
      <c r="F1116">
        <v>60</v>
      </c>
      <c r="G1116" s="3">
        <v>20</v>
      </c>
      <c r="H1116">
        <v>1889</v>
      </c>
      <c r="I1116" t="s">
        <v>181</v>
      </c>
      <c r="J1116">
        <v>9</v>
      </c>
      <c r="K1116">
        <v>6</v>
      </c>
      <c r="L1116">
        <v>12</v>
      </c>
      <c r="M1116">
        <v>15</v>
      </c>
    </row>
    <row r="1117" spans="1:13" x14ac:dyDescent="0.25">
      <c r="A1117">
        <v>1116</v>
      </c>
      <c r="B1117">
        <v>71</v>
      </c>
      <c r="C1117">
        <v>9</v>
      </c>
      <c r="D1117" s="2">
        <v>42576.408055555556</v>
      </c>
      <c r="E1117" t="s">
        <v>179</v>
      </c>
      <c r="F1117">
        <v>120</v>
      </c>
      <c r="G1117" s="3">
        <v>1</v>
      </c>
      <c r="H1117">
        <v>2031</v>
      </c>
      <c r="I1117" t="s">
        <v>181</v>
      </c>
      <c r="J1117">
        <v>5</v>
      </c>
      <c r="K1117">
        <v>8</v>
      </c>
      <c r="L1117">
        <v>16</v>
      </c>
      <c r="M1117">
        <v>13</v>
      </c>
    </row>
    <row r="1118" spans="1:13" x14ac:dyDescent="0.25">
      <c r="A1118">
        <v>1117</v>
      </c>
      <c r="B1118">
        <v>71</v>
      </c>
      <c r="C1118">
        <v>8</v>
      </c>
      <c r="D1118" s="2">
        <v>42576.305439814816</v>
      </c>
      <c r="E1118" t="s">
        <v>179</v>
      </c>
      <c r="F1118">
        <v>0</v>
      </c>
      <c r="G1118" s="3">
        <v>2</v>
      </c>
      <c r="H1118">
        <v>1918</v>
      </c>
      <c r="I1118" t="s">
        <v>181</v>
      </c>
      <c r="J1118">
        <v>17</v>
      </c>
      <c r="K1118">
        <v>7</v>
      </c>
      <c r="L1118">
        <v>4</v>
      </c>
      <c r="M1118">
        <v>14</v>
      </c>
    </row>
    <row r="1119" spans="1:13" x14ac:dyDescent="0.25">
      <c r="A1119">
        <v>1118</v>
      </c>
      <c r="B1119">
        <v>71</v>
      </c>
      <c r="C1119">
        <v>16</v>
      </c>
      <c r="D1119" s="2">
        <v>42578.232499999998</v>
      </c>
      <c r="E1119" t="s">
        <v>179</v>
      </c>
      <c r="F1119">
        <v>150</v>
      </c>
      <c r="G1119" s="3">
        <v>3</v>
      </c>
      <c r="H1119">
        <v>2087</v>
      </c>
      <c r="I1119" t="s">
        <v>181</v>
      </c>
      <c r="J1119">
        <v>1</v>
      </c>
      <c r="K1119">
        <v>6</v>
      </c>
      <c r="L1119">
        <v>20</v>
      </c>
      <c r="M1119">
        <v>15</v>
      </c>
    </row>
    <row r="1120" spans="1:13" x14ac:dyDescent="0.25">
      <c r="A1120">
        <v>1119</v>
      </c>
      <c r="B1120">
        <v>71</v>
      </c>
      <c r="C1120">
        <v>25</v>
      </c>
      <c r="D1120" s="2">
        <v>42577.159050925926</v>
      </c>
      <c r="E1120" t="s">
        <v>179</v>
      </c>
      <c r="F1120">
        <v>30</v>
      </c>
      <c r="G1120" s="3">
        <v>4</v>
      </c>
      <c r="H1120">
        <v>2048</v>
      </c>
      <c r="I1120" t="s">
        <v>181</v>
      </c>
      <c r="J1120">
        <v>4</v>
      </c>
      <c r="K1120">
        <v>0</v>
      </c>
      <c r="L1120">
        <v>17</v>
      </c>
      <c r="M1120">
        <v>22</v>
      </c>
    </row>
    <row r="1121" spans="1:13" x14ac:dyDescent="0.25">
      <c r="A1121">
        <v>1120</v>
      </c>
      <c r="B1121">
        <v>71</v>
      </c>
      <c r="C1121">
        <v>20</v>
      </c>
      <c r="D1121" s="2">
        <v>42577.045324074075</v>
      </c>
      <c r="E1121" t="s">
        <v>179</v>
      </c>
      <c r="F1121">
        <v>240</v>
      </c>
      <c r="G1121" s="3">
        <v>5</v>
      </c>
      <c r="H1121">
        <v>0</v>
      </c>
      <c r="I1121" t="s">
        <v>180</v>
      </c>
      <c r="J1121">
        <v>0</v>
      </c>
      <c r="K1121">
        <v>0</v>
      </c>
      <c r="L1121">
        <v>0</v>
      </c>
      <c r="M1121">
        <v>0</v>
      </c>
    </row>
    <row r="1122" spans="1:13" x14ac:dyDescent="0.25">
      <c r="A1122">
        <v>1121</v>
      </c>
      <c r="B1122">
        <v>71</v>
      </c>
      <c r="C1122">
        <v>10</v>
      </c>
      <c r="D1122" s="2">
        <v>42579.244421296295</v>
      </c>
      <c r="E1122" t="s">
        <v>179</v>
      </c>
      <c r="F1122">
        <v>90</v>
      </c>
      <c r="G1122" s="3">
        <v>6</v>
      </c>
      <c r="H1122">
        <v>2127</v>
      </c>
      <c r="I1122" t="s">
        <v>181</v>
      </c>
      <c r="J1122">
        <v>0</v>
      </c>
      <c r="K1122">
        <v>0</v>
      </c>
      <c r="L1122">
        <v>23</v>
      </c>
      <c r="M1122">
        <v>24</v>
      </c>
    </row>
    <row r="1123" spans="1:13" x14ac:dyDescent="0.25">
      <c r="A1123">
        <v>1122</v>
      </c>
      <c r="B1123">
        <v>71</v>
      </c>
      <c r="C1123">
        <v>21</v>
      </c>
      <c r="D1123" s="2">
        <v>42574.346817129626</v>
      </c>
      <c r="E1123" t="s">
        <v>179</v>
      </c>
      <c r="F1123">
        <v>30</v>
      </c>
      <c r="G1123" s="3">
        <v>7</v>
      </c>
      <c r="H1123">
        <v>2074</v>
      </c>
      <c r="I1123" t="s">
        <v>181</v>
      </c>
      <c r="J1123">
        <v>3</v>
      </c>
      <c r="K1123">
        <v>0</v>
      </c>
      <c r="L1123">
        <v>18</v>
      </c>
      <c r="M1123">
        <v>25</v>
      </c>
    </row>
    <row r="1124" spans="1:13" x14ac:dyDescent="0.25">
      <c r="A1124">
        <v>1123</v>
      </c>
      <c r="B1124">
        <v>71</v>
      </c>
      <c r="C1124">
        <v>4</v>
      </c>
      <c r="D1124" s="2">
        <v>42573.927314814813</v>
      </c>
      <c r="E1124" t="s">
        <v>179</v>
      </c>
      <c r="F1124">
        <v>90</v>
      </c>
      <c r="G1124" s="3">
        <v>8</v>
      </c>
      <c r="H1124">
        <v>1946</v>
      </c>
      <c r="I1124" t="s">
        <v>181</v>
      </c>
      <c r="J1124">
        <v>13</v>
      </c>
      <c r="K1124">
        <v>13</v>
      </c>
      <c r="L1124">
        <v>8</v>
      </c>
      <c r="M1124">
        <v>8</v>
      </c>
    </row>
    <row r="1125" spans="1:13" x14ac:dyDescent="0.25">
      <c r="A1125">
        <v>1124</v>
      </c>
      <c r="B1125">
        <v>71</v>
      </c>
      <c r="C1125">
        <v>29</v>
      </c>
      <c r="D1125" s="2">
        <v>42578.561273148145</v>
      </c>
      <c r="E1125" t="s">
        <v>179</v>
      </c>
      <c r="F1125">
        <v>180</v>
      </c>
      <c r="G1125" s="3">
        <v>9</v>
      </c>
      <c r="H1125">
        <v>2026</v>
      </c>
      <c r="I1125" t="s">
        <v>181</v>
      </c>
      <c r="J1125">
        <v>6</v>
      </c>
      <c r="K1125">
        <v>14</v>
      </c>
      <c r="L1125">
        <v>15</v>
      </c>
      <c r="M1125">
        <v>7</v>
      </c>
    </row>
    <row r="1126" spans="1:13" x14ac:dyDescent="0.25">
      <c r="A1126">
        <v>1125</v>
      </c>
      <c r="B1126">
        <v>71</v>
      </c>
      <c r="C1126">
        <v>11</v>
      </c>
      <c r="D1126" s="2">
        <v>42577.391770833332</v>
      </c>
      <c r="E1126" t="s">
        <v>179</v>
      </c>
      <c r="F1126">
        <v>270</v>
      </c>
      <c r="G1126" s="3">
        <v>10</v>
      </c>
      <c r="H1126">
        <v>1898</v>
      </c>
      <c r="I1126" t="s">
        <v>181</v>
      </c>
      <c r="J1126">
        <v>19</v>
      </c>
      <c r="K1126">
        <v>19</v>
      </c>
      <c r="L1126">
        <v>2</v>
      </c>
      <c r="M1126">
        <v>2</v>
      </c>
    </row>
    <row r="1127" spans="1:13" x14ac:dyDescent="0.25">
      <c r="A1127">
        <v>1126</v>
      </c>
      <c r="B1127">
        <v>71</v>
      </c>
      <c r="C1127">
        <v>17</v>
      </c>
      <c r="D1127" s="2">
        <v>42574.013935185183</v>
      </c>
      <c r="E1127" t="s">
        <v>179</v>
      </c>
      <c r="F1127">
        <v>30</v>
      </c>
      <c r="G1127" s="3">
        <v>11</v>
      </c>
      <c r="H1127">
        <v>1978</v>
      </c>
      <c r="I1127" t="s">
        <v>181</v>
      </c>
      <c r="J1127">
        <v>11</v>
      </c>
      <c r="K1127">
        <v>5</v>
      </c>
      <c r="L1127">
        <v>10</v>
      </c>
      <c r="M1127">
        <v>16</v>
      </c>
    </row>
    <row r="1128" spans="1:13" x14ac:dyDescent="0.25">
      <c r="A1128">
        <v>1127</v>
      </c>
      <c r="B1128">
        <v>71</v>
      </c>
      <c r="C1128">
        <v>14</v>
      </c>
      <c r="D1128" s="2">
        <v>42574.606932870367</v>
      </c>
      <c r="E1128" t="s">
        <v>179</v>
      </c>
      <c r="F1128">
        <v>120</v>
      </c>
      <c r="G1128" s="3">
        <v>12</v>
      </c>
      <c r="H1128">
        <v>2132</v>
      </c>
      <c r="I1128" t="s">
        <v>181</v>
      </c>
      <c r="J1128">
        <v>0</v>
      </c>
      <c r="K1128">
        <v>0</v>
      </c>
      <c r="L1128">
        <v>24</v>
      </c>
      <c r="M1128">
        <v>21</v>
      </c>
    </row>
    <row r="1129" spans="1:13" x14ac:dyDescent="0.25">
      <c r="A1129">
        <v>1128</v>
      </c>
      <c r="B1129">
        <v>71</v>
      </c>
      <c r="C1129">
        <v>18</v>
      </c>
      <c r="D1129" s="2">
        <v>42573.229097222225</v>
      </c>
      <c r="E1129" t="s">
        <v>179</v>
      </c>
      <c r="F1129">
        <v>300</v>
      </c>
      <c r="G1129" s="3">
        <v>13</v>
      </c>
      <c r="H1129">
        <v>1929</v>
      </c>
      <c r="I1129" t="s">
        <v>181</v>
      </c>
      <c r="J1129">
        <v>16</v>
      </c>
      <c r="K1129">
        <v>18</v>
      </c>
      <c r="L1129">
        <v>5</v>
      </c>
      <c r="M1129">
        <v>3</v>
      </c>
    </row>
    <row r="1130" spans="1:13" x14ac:dyDescent="0.25">
      <c r="A1130">
        <v>1129</v>
      </c>
      <c r="B1130">
        <v>71</v>
      </c>
      <c r="C1130">
        <v>6</v>
      </c>
      <c r="D1130" s="2">
        <v>42578.060289351852</v>
      </c>
      <c r="E1130" t="s">
        <v>179</v>
      </c>
      <c r="F1130">
        <v>30</v>
      </c>
      <c r="G1130" s="3">
        <v>14</v>
      </c>
      <c r="H1130">
        <v>2009</v>
      </c>
      <c r="I1130" t="s">
        <v>181</v>
      </c>
      <c r="J1130">
        <v>10</v>
      </c>
      <c r="K1130">
        <v>3</v>
      </c>
      <c r="L1130">
        <v>11</v>
      </c>
      <c r="M1130">
        <v>18</v>
      </c>
    </row>
    <row r="1131" spans="1:13" x14ac:dyDescent="0.25">
      <c r="A1131">
        <v>1130</v>
      </c>
      <c r="B1131">
        <v>71</v>
      </c>
      <c r="C1131">
        <v>23</v>
      </c>
      <c r="D1131" s="2">
        <v>42577.693564814814</v>
      </c>
      <c r="E1131" t="s">
        <v>179</v>
      </c>
      <c r="F1131">
        <v>120</v>
      </c>
      <c r="G1131" s="3">
        <v>15</v>
      </c>
      <c r="H1131">
        <v>0</v>
      </c>
      <c r="I1131" t="s">
        <v>180</v>
      </c>
      <c r="J1131">
        <v>0</v>
      </c>
      <c r="K1131">
        <v>0</v>
      </c>
      <c r="L1131">
        <v>0</v>
      </c>
      <c r="M1131">
        <v>0</v>
      </c>
    </row>
    <row r="1132" spans="1:13" x14ac:dyDescent="0.25">
      <c r="A1132">
        <v>1131</v>
      </c>
      <c r="B1132">
        <v>71</v>
      </c>
      <c r="C1132">
        <v>13</v>
      </c>
      <c r="D1132" s="2">
        <v>42575.011990740742</v>
      </c>
      <c r="E1132" t="s">
        <v>179</v>
      </c>
      <c r="F1132">
        <v>150</v>
      </c>
      <c r="G1132" s="3">
        <v>16</v>
      </c>
      <c r="H1132">
        <v>2025</v>
      </c>
      <c r="I1132" t="s">
        <v>181</v>
      </c>
      <c r="J1132">
        <v>7</v>
      </c>
      <c r="K1132">
        <v>11</v>
      </c>
      <c r="L1132">
        <v>14</v>
      </c>
      <c r="M1132">
        <v>10</v>
      </c>
    </row>
    <row r="1133" spans="1:13" x14ac:dyDescent="0.25">
      <c r="A1133">
        <v>1132</v>
      </c>
      <c r="B1133">
        <v>71</v>
      </c>
      <c r="C1133">
        <v>12</v>
      </c>
      <c r="D1133" s="2">
        <v>42572.299212962964</v>
      </c>
      <c r="E1133" t="s">
        <v>179</v>
      </c>
      <c r="F1133">
        <v>150</v>
      </c>
      <c r="G1133" s="3">
        <v>17</v>
      </c>
      <c r="H1133">
        <v>2015</v>
      </c>
      <c r="I1133" t="s">
        <v>181</v>
      </c>
      <c r="J1133">
        <v>9</v>
      </c>
      <c r="K1133">
        <v>12</v>
      </c>
      <c r="L1133">
        <v>12</v>
      </c>
      <c r="M1133">
        <v>9</v>
      </c>
    </row>
    <row r="1134" spans="1:13" x14ac:dyDescent="0.25">
      <c r="A1134">
        <v>1133</v>
      </c>
      <c r="B1134">
        <v>71</v>
      </c>
      <c r="C1134">
        <v>27</v>
      </c>
      <c r="D1134" s="2">
        <v>42576.835729166669</v>
      </c>
      <c r="E1134" t="s">
        <v>179</v>
      </c>
      <c r="F1134">
        <v>240</v>
      </c>
      <c r="G1134" s="3">
        <v>18</v>
      </c>
      <c r="H1134">
        <v>2080</v>
      </c>
      <c r="I1134" t="s">
        <v>181</v>
      </c>
      <c r="J1134">
        <v>2</v>
      </c>
      <c r="K1134">
        <v>15</v>
      </c>
      <c r="L1134">
        <v>19</v>
      </c>
      <c r="M1134">
        <v>6</v>
      </c>
    </row>
    <row r="1135" spans="1:13" x14ac:dyDescent="0.25">
      <c r="A1135">
        <v>1134</v>
      </c>
      <c r="B1135">
        <v>71</v>
      </c>
      <c r="C1135">
        <v>31</v>
      </c>
      <c r="D1135" s="2">
        <v>42573.153692129628</v>
      </c>
      <c r="E1135" t="s">
        <v>179</v>
      </c>
      <c r="F1135">
        <v>180</v>
      </c>
      <c r="G1135" s="3">
        <v>19</v>
      </c>
      <c r="H1135">
        <v>0</v>
      </c>
      <c r="I1135" t="s">
        <v>180</v>
      </c>
      <c r="J1135">
        <v>0</v>
      </c>
      <c r="K1135">
        <v>0</v>
      </c>
      <c r="L1135">
        <v>0</v>
      </c>
      <c r="M1135">
        <v>0</v>
      </c>
    </row>
    <row r="1136" spans="1:13" x14ac:dyDescent="0.25">
      <c r="A1136">
        <v>1135</v>
      </c>
      <c r="B1136">
        <v>71</v>
      </c>
      <c r="C1136">
        <v>5</v>
      </c>
      <c r="D1136" s="2">
        <v>42575.978252314817</v>
      </c>
      <c r="E1136" t="s">
        <v>179</v>
      </c>
      <c r="F1136">
        <v>150</v>
      </c>
      <c r="G1136" s="3">
        <v>20</v>
      </c>
      <c r="H1136">
        <v>1958</v>
      </c>
      <c r="I1136" t="s">
        <v>181</v>
      </c>
      <c r="J1136">
        <v>12</v>
      </c>
      <c r="K1136">
        <v>16</v>
      </c>
      <c r="L1136">
        <v>9</v>
      </c>
      <c r="M1136">
        <v>5</v>
      </c>
    </row>
    <row r="1137" spans="1:13" x14ac:dyDescent="0.25">
      <c r="A1137">
        <v>1136</v>
      </c>
      <c r="B1137">
        <v>71</v>
      </c>
      <c r="C1137">
        <v>30</v>
      </c>
      <c r="D1137" s="2">
        <v>42577.168726851851</v>
      </c>
      <c r="E1137" t="s">
        <v>179</v>
      </c>
      <c r="F1137">
        <v>30</v>
      </c>
      <c r="G1137" s="3">
        <v>21</v>
      </c>
      <c r="H1137">
        <v>1934</v>
      </c>
      <c r="I1137" t="s">
        <v>181</v>
      </c>
      <c r="J1137">
        <v>15</v>
      </c>
      <c r="K1137">
        <v>10</v>
      </c>
      <c r="L1137">
        <v>6</v>
      </c>
      <c r="M1137">
        <v>11</v>
      </c>
    </row>
    <row r="1138" spans="1:13" x14ac:dyDescent="0.25">
      <c r="A1138">
        <v>1137</v>
      </c>
      <c r="B1138">
        <v>71</v>
      </c>
      <c r="C1138">
        <v>3</v>
      </c>
      <c r="D1138" s="2">
        <v>42579.151053240741</v>
      </c>
      <c r="E1138" t="s">
        <v>179</v>
      </c>
      <c r="F1138">
        <v>0</v>
      </c>
      <c r="G1138" s="3">
        <v>22</v>
      </c>
      <c r="H1138">
        <v>1910</v>
      </c>
      <c r="I1138" t="s">
        <v>181</v>
      </c>
      <c r="J1138">
        <v>18</v>
      </c>
      <c r="K1138">
        <v>9</v>
      </c>
      <c r="L1138">
        <v>3</v>
      </c>
      <c r="M1138">
        <v>12</v>
      </c>
    </row>
    <row r="1139" spans="1:13" x14ac:dyDescent="0.25">
      <c r="A1139">
        <v>1138</v>
      </c>
      <c r="B1139">
        <v>71</v>
      </c>
      <c r="C1139">
        <v>26</v>
      </c>
      <c r="D1139" s="2">
        <v>42573.383194444446</v>
      </c>
      <c r="E1139" t="s">
        <v>179</v>
      </c>
      <c r="F1139">
        <v>300</v>
      </c>
      <c r="G1139" s="3">
        <v>23</v>
      </c>
      <c r="H1139">
        <v>1886</v>
      </c>
      <c r="I1139" t="s">
        <v>181</v>
      </c>
      <c r="J1139">
        <v>20</v>
      </c>
      <c r="K1139">
        <v>20</v>
      </c>
      <c r="L1139">
        <v>1</v>
      </c>
      <c r="M1139">
        <v>1</v>
      </c>
    </row>
    <row r="1140" spans="1:13" x14ac:dyDescent="0.25">
      <c r="A1140">
        <v>1139</v>
      </c>
      <c r="B1140">
        <v>71</v>
      </c>
      <c r="C1140">
        <v>22</v>
      </c>
      <c r="D1140" s="2">
        <v>42575.657187500001</v>
      </c>
      <c r="E1140" t="s">
        <v>179</v>
      </c>
      <c r="F1140">
        <v>180</v>
      </c>
      <c r="G1140" s="3">
        <v>24</v>
      </c>
      <c r="H1140">
        <v>2144</v>
      </c>
      <c r="I1140" t="s">
        <v>181</v>
      </c>
      <c r="J1140">
        <v>0</v>
      </c>
      <c r="K1140">
        <v>4</v>
      </c>
      <c r="L1140">
        <v>25</v>
      </c>
      <c r="M1140">
        <v>17</v>
      </c>
    </row>
    <row r="1141" spans="1:13" x14ac:dyDescent="0.25">
      <c r="A1141">
        <v>1140</v>
      </c>
      <c r="B1141">
        <v>71</v>
      </c>
      <c r="C1141">
        <v>1</v>
      </c>
      <c r="D1141" s="2">
        <v>42572.847650462965</v>
      </c>
      <c r="E1141" t="s">
        <v>179</v>
      </c>
      <c r="F1141">
        <v>120</v>
      </c>
      <c r="G1141" s="3">
        <v>25</v>
      </c>
      <c r="H1141">
        <v>2120</v>
      </c>
      <c r="I1141" t="s">
        <v>181</v>
      </c>
      <c r="J1141">
        <v>0</v>
      </c>
      <c r="K1141">
        <v>1</v>
      </c>
      <c r="L1141">
        <v>22</v>
      </c>
      <c r="M1141">
        <v>20</v>
      </c>
    </row>
    <row r="1142" spans="1:13" x14ac:dyDescent="0.25">
      <c r="A1142">
        <v>1141</v>
      </c>
      <c r="B1142">
        <v>71</v>
      </c>
      <c r="C1142">
        <v>2</v>
      </c>
      <c r="D1142" s="2">
        <v>42574.829282407409</v>
      </c>
      <c r="E1142" t="s">
        <v>179</v>
      </c>
      <c r="F1142">
        <v>30</v>
      </c>
      <c r="G1142" s="3">
        <v>26</v>
      </c>
      <c r="H1142">
        <v>2021</v>
      </c>
      <c r="I1142" t="s">
        <v>181</v>
      </c>
      <c r="J1142">
        <v>8</v>
      </c>
      <c r="K1142">
        <v>2</v>
      </c>
      <c r="L1142">
        <v>13</v>
      </c>
      <c r="M1142">
        <v>19</v>
      </c>
    </row>
    <row r="1143" spans="1:13" x14ac:dyDescent="0.25">
      <c r="A1143">
        <v>1142</v>
      </c>
      <c r="B1143">
        <v>71</v>
      </c>
      <c r="C1143">
        <v>24</v>
      </c>
      <c r="D1143" s="2">
        <v>42576.051006944443</v>
      </c>
      <c r="E1143" t="s">
        <v>179</v>
      </c>
      <c r="F1143">
        <v>0</v>
      </c>
      <c r="G1143" s="3">
        <v>27</v>
      </c>
      <c r="H1143">
        <v>0</v>
      </c>
      <c r="I1143" t="s">
        <v>180</v>
      </c>
      <c r="J1143">
        <v>0</v>
      </c>
      <c r="K1143">
        <v>0</v>
      </c>
      <c r="L1143">
        <v>0</v>
      </c>
      <c r="M1143">
        <v>0</v>
      </c>
    </row>
    <row r="1144" spans="1:13" x14ac:dyDescent="0.25">
      <c r="A1144">
        <v>1143</v>
      </c>
      <c r="B1144">
        <v>71</v>
      </c>
      <c r="C1144">
        <v>19</v>
      </c>
      <c r="D1144" s="2">
        <v>42579.449502314812</v>
      </c>
      <c r="E1144" t="s">
        <v>179</v>
      </c>
      <c r="F1144">
        <v>240</v>
      </c>
      <c r="G1144" s="3">
        <v>28</v>
      </c>
      <c r="H1144">
        <v>1940</v>
      </c>
      <c r="I1144" t="s">
        <v>181</v>
      </c>
      <c r="J1144">
        <v>14</v>
      </c>
      <c r="K1144">
        <v>17</v>
      </c>
      <c r="L1144">
        <v>7</v>
      </c>
      <c r="M1144">
        <v>4</v>
      </c>
    </row>
    <row r="1145" spans="1:13" x14ac:dyDescent="0.25">
      <c r="A1145">
        <v>1144</v>
      </c>
      <c r="B1145">
        <v>71</v>
      </c>
      <c r="C1145">
        <v>7</v>
      </c>
      <c r="D1145" s="2">
        <v>42579.33489583333</v>
      </c>
      <c r="E1145" t="s">
        <v>179</v>
      </c>
      <c r="F1145">
        <v>90</v>
      </c>
      <c r="G1145" s="3">
        <v>29</v>
      </c>
      <c r="H1145">
        <v>2109</v>
      </c>
      <c r="I1145" t="s">
        <v>181</v>
      </c>
      <c r="J1145">
        <v>0</v>
      </c>
      <c r="K1145">
        <v>0</v>
      </c>
      <c r="L1145">
        <v>21</v>
      </c>
      <c r="M1145">
        <v>23</v>
      </c>
    </row>
    <row r="1146" spans="1:13" x14ac:dyDescent="0.25">
      <c r="A1146">
        <v>1145</v>
      </c>
      <c r="B1146">
        <v>72</v>
      </c>
      <c r="C1146">
        <v>3</v>
      </c>
      <c r="D1146" s="2">
        <v>42583.390902777777</v>
      </c>
      <c r="E1146" t="s">
        <v>179</v>
      </c>
      <c r="F1146">
        <v>0</v>
      </c>
      <c r="G1146" s="3">
        <v>1</v>
      </c>
      <c r="H1146">
        <v>0</v>
      </c>
      <c r="I1146" t="s">
        <v>180</v>
      </c>
      <c r="J1146">
        <v>0</v>
      </c>
      <c r="K1146">
        <v>0</v>
      </c>
      <c r="L1146">
        <v>0</v>
      </c>
      <c r="M1146">
        <v>0</v>
      </c>
    </row>
    <row r="1147" spans="1:13" x14ac:dyDescent="0.25">
      <c r="A1147">
        <v>1146</v>
      </c>
      <c r="B1147">
        <v>72</v>
      </c>
      <c r="C1147">
        <v>16</v>
      </c>
      <c r="D1147" s="2">
        <v>42585.24255787037</v>
      </c>
      <c r="E1147" t="s">
        <v>179</v>
      </c>
      <c r="F1147">
        <v>180</v>
      </c>
      <c r="G1147" s="3">
        <v>2</v>
      </c>
      <c r="H1147">
        <v>0</v>
      </c>
      <c r="I1147" t="s">
        <v>182</v>
      </c>
      <c r="J1147">
        <v>0</v>
      </c>
      <c r="K1147">
        <v>0</v>
      </c>
      <c r="L1147">
        <v>0</v>
      </c>
      <c r="M1147">
        <v>0</v>
      </c>
    </row>
    <row r="1148" spans="1:13" x14ac:dyDescent="0.25">
      <c r="A1148">
        <v>1147</v>
      </c>
      <c r="B1148">
        <v>72</v>
      </c>
      <c r="C1148">
        <v>29</v>
      </c>
      <c r="D1148" s="2">
        <v>42583.492893518516</v>
      </c>
      <c r="E1148" t="s">
        <v>179</v>
      </c>
      <c r="F1148">
        <v>60</v>
      </c>
      <c r="G1148" s="3">
        <v>3</v>
      </c>
      <c r="H1148">
        <v>1471</v>
      </c>
      <c r="I1148" t="s">
        <v>181</v>
      </c>
      <c r="J1148">
        <v>19</v>
      </c>
      <c r="K1148">
        <v>13</v>
      </c>
      <c r="L1148">
        <v>2</v>
      </c>
      <c r="M1148">
        <v>8</v>
      </c>
    </row>
    <row r="1149" spans="1:13" x14ac:dyDescent="0.25">
      <c r="A1149">
        <v>1148</v>
      </c>
      <c r="B1149">
        <v>72</v>
      </c>
      <c r="C1149">
        <v>14</v>
      </c>
      <c r="D1149" s="2">
        <v>42580.362291666665</v>
      </c>
      <c r="E1149" t="s">
        <v>179</v>
      </c>
      <c r="F1149">
        <v>30</v>
      </c>
      <c r="G1149" s="3">
        <v>4</v>
      </c>
      <c r="H1149">
        <v>1594</v>
      </c>
      <c r="I1149" t="s">
        <v>181</v>
      </c>
      <c r="J1149">
        <v>11</v>
      </c>
      <c r="K1149">
        <v>9</v>
      </c>
      <c r="L1149">
        <v>10</v>
      </c>
      <c r="M1149">
        <v>12</v>
      </c>
    </row>
    <row r="1150" spans="1:13" x14ac:dyDescent="0.25">
      <c r="A1150">
        <v>1149</v>
      </c>
      <c r="B1150">
        <v>72</v>
      </c>
      <c r="C1150">
        <v>28</v>
      </c>
      <c r="D1150" s="2">
        <v>42582.970763888887</v>
      </c>
      <c r="E1150" t="s">
        <v>179</v>
      </c>
      <c r="F1150">
        <v>0</v>
      </c>
      <c r="G1150" s="3">
        <v>5</v>
      </c>
      <c r="H1150">
        <v>1503</v>
      </c>
      <c r="I1150" t="s">
        <v>181</v>
      </c>
      <c r="J1150">
        <v>16</v>
      </c>
      <c r="K1150">
        <v>10</v>
      </c>
      <c r="L1150">
        <v>5</v>
      </c>
      <c r="M1150">
        <v>11</v>
      </c>
    </row>
    <row r="1151" spans="1:13" x14ac:dyDescent="0.25">
      <c r="A1151">
        <v>1150</v>
      </c>
      <c r="B1151">
        <v>72</v>
      </c>
      <c r="C1151">
        <v>26</v>
      </c>
      <c r="D1151" s="2">
        <v>42586.912395833337</v>
      </c>
      <c r="E1151" t="s">
        <v>179</v>
      </c>
      <c r="F1151">
        <v>300</v>
      </c>
      <c r="G1151" s="3">
        <v>6</v>
      </c>
      <c r="H1151">
        <v>1569</v>
      </c>
      <c r="I1151" t="s">
        <v>181</v>
      </c>
      <c r="J1151">
        <v>13</v>
      </c>
      <c r="K1151">
        <v>18</v>
      </c>
      <c r="L1151">
        <v>8</v>
      </c>
      <c r="M1151">
        <v>3</v>
      </c>
    </row>
    <row r="1152" spans="1:13" x14ac:dyDescent="0.25">
      <c r="A1152">
        <v>1151</v>
      </c>
      <c r="B1152">
        <v>72</v>
      </c>
      <c r="C1152">
        <v>19</v>
      </c>
      <c r="D1152" s="2">
        <v>42580.770682870374</v>
      </c>
      <c r="E1152" t="s">
        <v>179</v>
      </c>
      <c r="F1152">
        <v>270</v>
      </c>
      <c r="G1152" s="3">
        <v>7</v>
      </c>
      <c r="H1152">
        <v>1477</v>
      </c>
      <c r="I1152" t="s">
        <v>181</v>
      </c>
      <c r="J1152">
        <v>18</v>
      </c>
      <c r="K1152">
        <v>19</v>
      </c>
      <c r="L1152">
        <v>3</v>
      </c>
      <c r="M1152">
        <v>2</v>
      </c>
    </row>
    <row r="1153" spans="1:13" x14ac:dyDescent="0.25">
      <c r="A1153">
        <v>1152</v>
      </c>
      <c r="B1153">
        <v>72</v>
      </c>
      <c r="C1153">
        <v>4</v>
      </c>
      <c r="D1153" s="2">
        <v>42585.378460648149</v>
      </c>
      <c r="E1153" t="s">
        <v>179</v>
      </c>
      <c r="F1153">
        <v>240</v>
      </c>
      <c r="G1153" s="3">
        <v>8</v>
      </c>
      <c r="H1153">
        <v>1600</v>
      </c>
      <c r="I1153" t="s">
        <v>181</v>
      </c>
      <c r="J1153">
        <v>10</v>
      </c>
      <c r="K1153">
        <v>15</v>
      </c>
      <c r="L1153">
        <v>11</v>
      </c>
      <c r="M1153">
        <v>6</v>
      </c>
    </row>
    <row r="1154" spans="1:13" x14ac:dyDescent="0.25">
      <c r="A1154">
        <v>1153</v>
      </c>
      <c r="B1154">
        <v>72</v>
      </c>
      <c r="C1154">
        <v>8</v>
      </c>
      <c r="D1154" s="2">
        <v>42579.289537037039</v>
      </c>
      <c r="E1154" t="s">
        <v>179</v>
      </c>
      <c r="F1154">
        <v>180</v>
      </c>
      <c r="G1154" s="3">
        <v>9</v>
      </c>
      <c r="H1154">
        <v>1508</v>
      </c>
      <c r="I1154" t="s">
        <v>181</v>
      </c>
      <c r="J1154">
        <v>15</v>
      </c>
      <c r="K1154">
        <v>17</v>
      </c>
      <c r="L1154">
        <v>6</v>
      </c>
      <c r="M1154">
        <v>4</v>
      </c>
    </row>
    <row r="1155" spans="1:13" x14ac:dyDescent="0.25">
      <c r="A1155">
        <v>1154</v>
      </c>
      <c r="B1155">
        <v>72</v>
      </c>
      <c r="C1155">
        <v>21</v>
      </c>
      <c r="D1155" s="2">
        <v>42584.897824074076</v>
      </c>
      <c r="E1155" t="s">
        <v>179</v>
      </c>
      <c r="F1155">
        <v>180</v>
      </c>
      <c r="G1155" s="3">
        <v>10</v>
      </c>
      <c r="H1155">
        <v>1631</v>
      </c>
      <c r="I1155" t="s">
        <v>181</v>
      </c>
      <c r="J1155">
        <v>9</v>
      </c>
      <c r="K1155">
        <v>12</v>
      </c>
      <c r="L1155">
        <v>12</v>
      </c>
      <c r="M1155">
        <v>9</v>
      </c>
    </row>
    <row r="1156" spans="1:13" x14ac:dyDescent="0.25">
      <c r="A1156">
        <v>1155</v>
      </c>
      <c r="B1156">
        <v>72</v>
      </c>
      <c r="C1156">
        <v>1</v>
      </c>
      <c r="D1156" s="2">
        <v>42586.755613425928</v>
      </c>
      <c r="E1156" t="s">
        <v>179</v>
      </c>
      <c r="F1156">
        <v>150</v>
      </c>
      <c r="G1156" s="3">
        <v>11</v>
      </c>
      <c r="H1156">
        <v>1539</v>
      </c>
      <c r="I1156" t="s">
        <v>181</v>
      </c>
      <c r="J1156">
        <v>14</v>
      </c>
      <c r="K1156">
        <v>14</v>
      </c>
      <c r="L1156">
        <v>7</v>
      </c>
      <c r="M1156">
        <v>7</v>
      </c>
    </row>
    <row r="1157" spans="1:13" x14ac:dyDescent="0.25">
      <c r="A1157">
        <v>1156</v>
      </c>
      <c r="B1157">
        <v>72</v>
      </c>
      <c r="C1157">
        <v>27</v>
      </c>
      <c r="D1157" s="2">
        <v>42582.697233796294</v>
      </c>
      <c r="E1157" t="s">
        <v>179</v>
      </c>
      <c r="F1157">
        <v>120</v>
      </c>
      <c r="G1157" s="3">
        <v>12</v>
      </c>
      <c r="H1157">
        <v>0</v>
      </c>
      <c r="I1157" t="s">
        <v>182</v>
      </c>
      <c r="J1157">
        <v>0</v>
      </c>
      <c r="K1157">
        <v>0</v>
      </c>
      <c r="L1157">
        <v>0</v>
      </c>
      <c r="M1157">
        <v>0</v>
      </c>
    </row>
    <row r="1158" spans="1:13" x14ac:dyDescent="0.25">
      <c r="A1158">
        <v>1157</v>
      </c>
      <c r="B1158">
        <v>72</v>
      </c>
      <c r="C1158">
        <v>23</v>
      </c>
      <c r="D1158" s="2">
        <v>42585.721250000002</v>
      </c>
      <c r="E1158" t="s">
        <v>179</v>
      </c>
      <c r="F1158">
        <v>300</v>
      </c>
      <c r="G1158" s="3">
        <v>13</v>
      </c>
      <c r="H1158">
        <v>0</v>
      </c>
      <c r="I1158" t="s">
        <v>180</v>
      </c>
      <c r="J1158">
        <v>0</v>
      </c>
      <c r="K1158">
        <v>0</v>
      </c>
      <c r="L1158">
        <v>0</v>
      </c>
      <c r="M1158">
        <v>0</v>
      </c>
    </row>
    <row r="1159" spans="1:13" x14ac:dyDescent="0.25">
      <c r="A1159">
        <v>1158</v>
      </c>
      <c r="B1159">
        <v>72</v>
      </c>
      <c r="C1159">
        <v>5</v>
      </c>
      <c r="D1159" s="2">
        <v>42584.600011574075</v>
      </c>
      <c r="E1159" t="s">
        <v>179</v>
      </c>
      <c r="F1159">
        <v>30</v>
      </c>
      <c r="G1159" s="3">
        <v>14</v>
      </c>
      <c r="H1159">
        <v>1483</v>
      </c>
      <c r="I1159" t="s">
        <v>181</v>
      </c>
      <c r="J1159">
        <v>17</v>
      </c>
      <c r="K1159">
        <v>11</v>
      </c>
      <c r="L1159">
        <v>4</v>
      </c>
      <c r="M1159">
        <v>10</v>
      </c>
    </row>
    <row r="1160" spans="1:13" x14ac:dyDescent="0.25">
      <c r="A1160">
        <v>1159</v>
      </c>
      <c r="B1160">
        <v>72</v>
      </c>
      <c r="C1160">
        <v>17</v>
      </c>
      <c r="D1160" s="2">
        <v>42586.873993055553</v>
      </c>
      <c r="E1160" t="s">
        <v>179</v>
      </c>
      <c r="F1160">
        <v>270</v>
      </c>
      <c r="G1160" s="3">
        <v>15</v>
      </c>
      <c r="H1160">
        <v>1464</v>
      </c>
      <c r="I1160" t="s">
        <v>181</v>
      </c>
      <c r="J1160">
        <v>20</v>
      </c>
      <c r="K1160">
        <v>20</v>
      </c>
      <c r="L1160">
        <v>1</v>
      </c>
      <c r="M1160">
        <v>1</v>
      </c>
    </row>
    <row r="1161" spans="1:13" x14ac:dyDescent="0.25">
      <c r="A1161">
        <v>1160</v>
      </c>
      <c r="B1161">
        <v>72</v>
      </c>
      <c r="C1161">
        <v>18</v>
      </c>
      <c r="D1161" s="2">
        <v>42580.065162037034</v>
      </c>
      <c r="E1161" t="s">
        <v>179</v>
      </c>
      <c r="F1161">
        <v>240</v>
      </c>
      <c r="G1161" s="3">
        <v>16</v>
      </c>
      <c r="H1161">
        <v>0</v>
      </c>
      <c r="I1161" t="s">
        <v>180</v>
      </c>
      <c r="J1161">
        <v>0</v>
      </c>
      <c r="K1161">
        <v>0</v>
      </c>
      <c r="L1161">
        <v>0</v>
      </c>
      <c r="M1161">
        <v>0</v>
      </c>
    </row>
    <row r="1162" spans="1:13" x14ac:dyDescent="0.25">
      <c r="A1162">
        <v>1161</v>
      </c>
      <c r="B1162">
        <v>72</v>
      </c>
      <c r="C1162">
        <v>22</v>
      </c>
      <c r="D1162" s="2">
        <v>42579.103495370371</v>
      </c>
      <c r="E1162" t="s">
        <v>179</v>
      </c>
      <c r="F1162">
        <v>30</v>
      </c>
      <c r="G1162" s="3">
        <v>17</v>
      </c>
      <c r="H1162">
        <v>0</v>
      </c>
      <c r="I1162" t="s">
        <v>180</v>
      </c>
      <c r="J1162">
        <v>0</v>
      </c>
      <c r="K1162">
        <v>0</v>
      </c>
      <c r="L1162">
        <v>0</v>
      </c>
      <c r="M1162">
        <v>0</v>
      </c>
    </row>
    <row r="1163" spans="1:13" x14ac:dyDescent="0.25">
      <c r="A1163">
        <v>1162</v>
      </c>
      <c r="B1163">
        <v>72</v>
      </c>
      <c r="C1163">
        <v>20</v>
      </c>
      <c r="D1163" s="2">
        <v>42583.96875</v>
      </c>
      <c r="E1163" t="s">
        <v>179</v>
      </c>
      <c r="F1163">
        <v>240</v>
      </c>
      <c r="G1163" s="3">
        <v>18</v>
      </c>
      <c r="H1163">
        <v>1571</v>
      </c>
      <c r="I1163" t="s">
        <v>181</v>
      </c>
      <c r="J1163">
        <v>12</v>
      </c>
      <c r="K1163">
        <v>16</v>
      </c>
      <c r="L1163">
        <v>9</v>
      </c>
      <c r="M1163">
        <v>5</v>
      </c>
    </row>
    <row r="1164" spans="1:13" x14ac:dyDescent="0.25">
      <c r="A1164">
        <v>1163</v>
      </c>
      <c r="B1164">
        <v>73</v>
      </c>
      <c r="C1164">
        <v>7</v>
      </c>
      <c r="D1164" s="2">
        <v>42587.101030092592</v>
      </c>
      <c r="E1164" t="s">
        <v>179</v>
      </c>
      <c r="F1164">
        <v>150</v>
      </c>
      <c r="G1164" s="3">
        <v>1</v>
      </c>
      <c r="H1164">
        <v>0</v>
      </c>
      <c r="I1164" t="s">
        <v>180</v>
      </c>
      <c r="J1164">
        <v>0</v>
      </c>
      <c r="K1164">
        <v>0</v>
      </c>
      <c r="L1164">
        <v>0</v>
      </c>
      <c r="M1164">
        <v>0</v>
      </c>
    </row>
    <row r="1165" spans="1:13" x14ac:dyDescent="0.25">
      <c r="A1165">
        <v>1164</v>
      </c>
      <c r="B1165">
        <v>73</v>
      </c>
      <c r="C1165">
        <v>8</v>
      </c>
      <c r="D1165" s="2">
        <v>42592.126180555555</v>
      </c>
      <c r="E1165" t="s">
        <v>179</v>
      </c>
      <c r="F1165">
        <v>90</v>
      </c>
      <c r="G1165" s="3">
        <v>2</v>
      </c>
      <c r="H1165">
        <v>1797</v>
      </c>
      <c r="I1165" t="s">
        <v>181</v>
      </c>
      <c r="J1165">
        <v>11</v>
      </c>
      <c r="K1165">
        <v>10</v>
      </c>
      <c r="L1165">
        <v>10</v>
      </c>
      <c r="M1165">
        <v>11</v>
      </c>
    </row>
    <row r="1166" spans="1:13" x14ac:dyDescent="0.25">
      <c r="A1166">
        <v>1165</v>
      </c>
      <c r="B1166">
        <v>73</v>
      </c>
      <c r="C1166">
        <v>4</v>
      </c>
      <c r="D1166" s="2">
        <v>42589.734930555554</v>
      </c>
      <c r="E1166" t="s">
        <v>179</v>
      </c>
      <c r="F1166">
        <v>150</v>
      </c>
      <c r="G1166" s="3">
        <v>3</v>
      </c>
      <c r="H1166">
        <v>1856</v>
      </c>
      <c r="I1166" t="s">
        <v>181</v>
      </c>
      <c r="J1166">
        <v>7</v>
      </c>
      <c r="K1166">
        <v>11</v>
      </c>
      <c r="L1166">
        <v>14</v>
      </c>
      <c r="M1166">
        <v>10</v>
      </c>
    </row>
    <row r="1167" spans="1:13" x14ac:dyDescent="0.25">
      <c r="A1167">
        <v>1166</v>
      </c>
      <c r="B1167">
        <v>73</v>
      </c>
      <c r="C1167">
        <v>12</v>
      </c>
      <c r="D1167" s="2">
        <v>42592.981180555558</v>
      </c>
      <c r="E1167" t="s">
        <v>179</v>
      </c>
      <c r="F1167">
        <v>150</v>
      </c>
      <c r="G1167" s="3">
        <v>4</v>
      </c>
      <c r="H1167">
        <v>1916</v>
      </c>
      <c r="I1167" t="s">
        <v>181</v>
      </c>
      <c r="J1167">
        <v>2</v>
      </c>
      <c r="K1167">
        <v>5</v>
      </c>
      <c r="L1167">
        <v>19</v>
      </c>
      <c r="M1167">
        <v>16</v>
      </c>
    </row>
    <row r="1168" spans="1:13" x14ac:dyDescent="0.25">
      <c r="A1168">
        <v>1167</v>
      </c>
      <c r="B1168">
        <v>73</v>
      </c>
      <c r="C1168">
        <v>30</v>
      </c>
      <c r="D1168" s="2">
        <v>42588.517893518518</v>
      </c>
      <c r="E1168" t="s">
        <v>179</v>
      </c>
      <c r="F1168">
        <v>120</v>
      </c>
      <c r="G1168" s="3">
        <v>5</v>
      </c>
      <c r="H1168">
        <v>1907</v>
      </c>
      <c r="I1168" t="s">
        <v>181</v>
      </c>
      <c r="J1168">
        <v>3</v>
      </c>
      <c r="K1168">
        <v>3</v>
      </c>
      <c r="L1168">
        <v>18</v>
      </c>
      <c r="M1168">
        <v>18</v>
      </c>
    </row>
    <row r="1169" spans="1:13" x14ac:dyDescent="0.25">
      <c r="A1169">
        <v>1168</v>
      </c>
      <c r="B1169">
        <v>73</v>
      </c>
      <c r="C1169">
        <v>21</v>
      </c>
      <c r="D1169" s="2">
        <v>42593.793310185189</v>
      </c>
      <c r="E1169" t="s">
        <v>179</v>
      </c>
      <c r="F1169">
        <v>180</v>
      </c>
      <c r="G1169" s="3">
        <v>6</v>
      </c>
      <c r="H1169">
        <v>1709</v>
      </c>
      <c r="I1169" t="s">
        <v>181</v>
      </c>
      <c r="J1169">
        <v>19</v>
      </c>
      <c r="K1169">
        <v>19</v>
      </c>
      <c r="L1169">
        <v>2</v>
      </c>
      <c r="M1169">
        <v>2</v>
      </c>
    </row>
    <row r="1170" spans="1:13" x14ac:dyDescent="0.25">
      <c r="A1170">
        <v>1169</v>
      </c>
      <c r="B1170">
        <v>73</v>
      </c>
      <c r="C1170">
        <v>24</v>
      </c>
      <c r="D1170" s="2">
        <v>42589.372893518521</v>
      </c>
      <c r="E1170" t="s">
        <v>179</v>
      </c>
      <c r="F1170">
        <v>150</v>
      </c>
      <c r="G1170" s="3">
        <v>7</v>
      </c>
      <c r="H1170">
        <v>1768</v>
      </c>
      <c r="I1170" t="s">
        <v>181</v>
      </c>
      <c r="J1170">
        <v>15</v>
      </c>
      <c r="K1170">
        <v>16</v>
      </c>
      <c r="L1170">
        <v>6</v>
      </c>
      <c r="M1170">
        <v>5</v>
      </c>
    </row>
    <row r="1171" spans="1:13" x14ac:dyDescent="0.25">
      <c r="A1171">
        <v>1170</v>
      </c>
      <c r="B1171">
        <v>73</v>
      </c>
      <c r="C1171">
        <v>15</v>
      </c>
      <c r="D1171" s="2">
        <v>42590.170208333337</v>
      </c>
      <c r="E1171" t="s">
        <v>179</v>
      </c>
      <c r="F1171">
        <v>0</v>
      </c>
      <c r="G1171" s="3">
        <v>8</v>
      </c>
      <c r="H1171">
        <v>1707</v>
      </c>
      <c r="I1171" t="s">
        <v>181</v>
      </c>
      <c r="J1171">
        <v>20</v>
      </c>
      <c r="K1171">
        <v>10</v>
      </c>
      <c r="L1171">
        <v>1</v>
      </c>
      <c r="M1171">
        <v>11</v>
      </c>
    </row>
    <row r="1172" spans="1:13" x14ac:dyDescent="0.25">
      <c r="A1172">
        <v>1171</v>
      </c>
      <c r="B1172">
        <v>73</v>
      </c>
      <c r="C1172">
        <v>17</v>
      </c>
      <c r="D1172" s="2">
        <v>42587.49927083333</v>
      </c>
      <c r="E1172" t="s">
        <v>179</v>
      </c>
      <c r="F1172">
        <v>60</v>
      </c>
      <c r="G1172" s="3">
        <v>9</v>
      </c>
      <c r="H1172">
        <v>1955</v>
      </c>
      <c r="I1172" t="s">
        <v>181</v>
      </c>
      <c r="J1172">
        <v>0</v>
      </c>
      <c r="K1172">
        <v>0</v>
      </c>
      <c r="L1172">
        <v>21</v>
      </c>
      <c r="M1172">
        <v>21</v>
      </c>
    </row>
    <row r="1173" spans="1:13" x14ac:dyDescent="0.25">
      <c r="A1173">
        <v>1172</v>
      </c>
      <c r="B1173">
        <v>73</v>
      </c>
      <c r="C1173">
        <v>6</v>
      </c>
      <c r="D1173" s="2">
        <v>42589.025381944448</v>
      </c>
      <c r="E1173" t="s">
        <v>179</v>
      </c>
      <c r="F1173">
        <v>60</v>
      </c>
      <c r="G1173" s="3">
        <v>10</v>
      </c>
      <c r="H1173">
        <v>1758</v>
      </c>
      <c r="I1173" t="s">
        <v>181</v>
      </c>
      <c r="J1173">
        <v>16</v>
      </c>
      <c r="K1173">
        <v>12</v>
      </c>
      <c r="L1173">
        <v>5</v>
      </c>
      <c r="M1173">
        <v>9</v>
      </c>
    </row>
    <row r="1174" spans="1:13" x14ac:dyDescent="0.25">
      <c r="A1174">
        <v>1173</v>
      </c>
      <c r="B1174">
        <v>73</v>
      </c>
      <c r="C1174">
        <v>25</v>
      </c>
      <c r="D1174" s="2">
        <v>42586.311909722222</v>
      </c>
      <c r="E1174" t="s">
        <v>179</v>
      </c>
      <c r="F1174">
        <v>30</v>
      </c>
      <c r="G1174" s="3">
        <v>11</v>
      </c>
      <c r="H1174">
        <v>1817</v>
      </c>
      <c r="I1174" t="s">
        <v>181</v>
      </c>
      <c r="J1174">
        <v>9</v>
      </c>
      <c r="K1174">
        <v>3</v>
      </c>
      <c r="L1174">
        <v>12</v>
      </c>
      <c r="M1174">
        <v>18</v>
      </c>
    </row>
    <row r="1175" spans="1:13" x14ac:dyDescent="0.25">
      <c r="A1175">
        <v>1174</v>
      </c>
      <c r="B1175">
        <v>73</v>
      </c>
      <c r="C1175">
        <v>19</v>
      </c>
      <c r="D1175" s="2">
        <v>42590.849131944444</v>
      </c>
      <c r="E1175" t="s">
        <v>179</v>
      </c>
      <c r="F1175">
        <v>90</v>
      </c>
      <c r="G1175" s="3">
        <v>12</v>
      </c>
      <c r="H1175">
        <v>1808</v>
      </c>
      <c r="I1175" t="s">
        <v>181</v>
      </c>
      <c r="J1175">
        <v>10</v>
      </c>
      <c r="K1175">
        <v>8</v>
      </c>
      <c r="L1175">
        <v>11</v>
      </c>
      <c r="M1175">
        <v>13</v>
      </c>
    </row>
    <row r="1176" spans="1:13" x14ac:dyDescent="0.25">
      <c r="A1176">
        <v>1175</v>
      </c>
      <c r="B1176">
        <v>73</v>
      </c>
      <c r="C1176">
        <v>1</v>
      </c>
      <c r="D1176" s="2">
        <v>42587.08357638889</v>
      </c>
      <c r="E1176" t="s">
        <v>179</v>
      </c>
      <c r="F1176">
        <v>60</v>
      </c>
      <c r="G1176" s="3">
        <v>13</v>
      </c>
      <c r="H1176">
        <v>1868</v>
      </c>
      <c r="I1176" t="s">
        <v>181</v>
      </c>
      <c r="J1176">
        <v>6</v>
      </c>
      <c r="K1176">
        <v>1</v>
      </c>
      <c r="L1176">
        <v>15</v>
      </c>
      <c r="M1176">
        <v>20</v>
      </c>
    </row>
    <row r="1177" spans="1:13" x14ac:dyDescent="0.25">
      <c r="A1177">
        <v>1176</v>
      </c>
      <c r="B1177">
        <v>73</v>
      </c>
      <c r="C1177">
        <v>28</v>
      </c>
      <c r="D1177" s="2">
        <v>42591.703622685185</v>
      </c>
      <c r="E1177" t="s">
        <v>179</v>
      </c>
      <c r="F1177">
        <v>60</v>
      </c>
      <c r="G1177" s="3">
        <v>14</v>
      </c>
      <c r="H1177">
        <v>0</v>
      </c>
      <c r="I1177" t="s">
        <v>182</v>
      </c>
      <c r="J1177">
        <v>0</v>
      </c>
      <c r="K1177">
        <v>0</v>
      </c>
      <c r="L1177">
        <v>0</v>
      </c>
      <c r="M1177">
        <v>0</v>
      </c>
    </row>
    <row r="1178" spans="1:13" x14ac:dyDescent="0.25">
      <c r="A1178">
        <v>1177</v>
      </c>
      <c r="B1178">
        <v>73</v>
      </c>
      <c r="C1178">
        <v>3</v>
      </c>
      <c r="D1178" s="2">
        <v>42592.331608796296</v>
      </c>
      <c r="E1178" t="s">
        <v>179</v>
      </c>
      <c r="F1178">
        <v>270</v>
      </c>
      <c r="G1178" s="3">
        <v>15</v>
      </c>
      <c r="H1178">
        <v>1946</v>
      </c>
      <c r="I1178" t="s">
        <v>181</v>
      </c>
      <c r="J1178">
        <v>1</v>
      </c>
      <c r="K1178">
        <v>13</v>
      </c>
      <c r="L1178">
        <v>20</v>
      </c>
      <c r="M1178">
        <v>8</v>
      </c>
    </row>
    <row r="1179" spans="1:13" x14ac:dyDescent="0.25">
      <c r="A1179">
        <v>1178</v>
      </c>
      <c r="B1179">
        <v>73</v>
      </c>
      <c r="C1179">
        <v>5</v>
      </c>
      <c r="D1179" s="2">
        <v>42586.895416666666</v>
      </c>
      <c r="E1179" t="s">
        <v>179</v>
      </c>
      <c r="F1179">
        <v>120</v>
      </c>
      <c r="G1179" s="3">
        <v>16</v>
      </c>
      <c r="H1179">
        <v>0</v>
      </c>
      <c r="I1179" t="s">
        <v>180</v>
      </c>
      <c r="J1179">
        <v>0</v>
      </c>
      <c r="K1179">
        <v>0</v>
      </c>
      <c r="L1179">
        <v>0</v>
      </c>
      <c r="M1179">
        <v>0</v>
      </c>
    </row>
    <row r="1180" spans="1:13" x14ac:dyDescent="0.25">
      <c r="A1180">
        <v>1179</v>
      </c>
      <c r="B1180">
        <v>73</v>
      </c>
      <c r="C1180">
        <v>29</v>
      </c>
      <c r="D1180" s="2">
        <v>42589.168877314813</v>
      </c>
      <c r="E1180" t="s">
        <v>179</v>
      </c>
      <c r="F1180">
        <v>240</v>
      </c>
      <c r="G1180" s="3">
        <v>17</v>
      </c>
      <c r="H1180">
        <v>1789</v>
      </c>
      <c r="I1180" t="s">
        <v>181</v>
      </c>
      <c r="J1180">
        <v>13</v>
      </c>
      <c r="K1180">
        <v>18</v>
      </c>
      <c r="L1180">
        <v>8</v>
      </c>
      <c r="M1180">
        <v>3</v>
      </c>
    </row>
    <row r="1181" spans="1:13" x14ac:dyDescent="0.25">
      <c r="A1181">
        <v>1180</v>
      </c>
      <c r="B1181">
        <v>73</v>
      </c>
      <c r="C1181">
        <v>22</v>
      </c>
      <c r="D1181" s="2">
        <v>42589.42900462963</v>
      </c>
      <c r="E1181" t="s">
        <v>179</v>
      </c>
      <c r="F1181">
        <v>90</v>
      </c>
      <c r="G1181" s="3">
        <v>18</v>
      </c>
      <c r="H1181">
        <v>0</v>
      </c>
      <c r="I1181" t="s">
        <v>182</v>
      </c>
      <c r="J1181">
        <v>0</v>
      </c>
      <c r="K1181">
        <v>0</v>
      </c>
      <c r="L1181">
        <v>0</v>
      </c>
      <c r="M1181">
        <v>0</v>
      </c>
    </row>
    <row r="1182" spans="1:13" x14ac:dyDescent="0.25">
      <c r="A1182">
        <v>1181</v>
      </c>
      <c r="B1182">
        <v>73</v>
      </c>
      <c r="C1182">
        <v>10</v>
      </c>
      <c r="D1182" s="2">
        <v>42590.321192129632</v>
      </c>
      <c r="E1182" t="s">
        <v>179</v>
      </c>
      <c r="F1182">
        <v>90</v>
      </c>
      <c r="G1182" s="3">
        <v>19</v>
      </c>
      <c r="H1182">
        <v>1828</v>
      </c>
      <c r="I1182" t="s">
        <v>181</v>
      </c>
      <c r="J1182">
        <v>8</v>
      </c>
      <c r="K1182">
        <v>7</v>
      </c>
      <c r="L1182">
        <v>13</v>
      </c>
      <c r="M1182">
        <v>14</v>
      </c>
    </row>
    <row r="1183" spans="1:13" x14ac:dyDescent="0.25">
      <c r="A1183">
        <v>1182</v>
      </c>
      <c r="B1183">
        <v>73</v>
      </c>
      <c r="C1183">
        <v>14</v>
      </c>
      <c r="D1183" s="2">
        <v>42589.248252314814</v>
      </c>
      <c r="E1183" t="s">
        <v>179</v>
      </c>
      <c r="F1183">
        <v>300</v>
      </c>
      <c r="G1183" s="3">
        <v>20</v>
      </c>
      <c r="H1183">
        <v>1725</v>
      </c>
      <c r="I1183" t="s">
        <v>181</v>
      </c>
      <c r="J1183">
        <v>18</v>
      </c>
      <c r="K1183">
        <v>20</v>
      </c>
      <c r="L1183">
        <v>3</v>
      </c>
      <c r="M1183">
        <v>1</v>
      </c>
    </row>
    <row r="1184" spans="1:13" x14ac:dyDescent="0.25">
      <c r="A1184">
        <v>1183</v>
      </c>
      <c r="B1184">
        <v>73</v>
      </c>
      <c r="C1184">
        <v>13</v>
      </c>
      <c r="D1184" s="2">
        <v>42589.134513888886</v>
      </c>
      <c r="E1184" t="s">
        <v>179</v>
      </c>
      <c r="F1184">
        <v>120</v>
      </c>
      <c r="G1184" s="3">
        <v>21</v>
      </c>
      <c r="H1184">
        <v>1879</v>
      </c>
      <c r="I1184" t="s">
        <v>181</v>
      </c>
      <c r="J1184">
        <v>5</v>
      </c>
      <c r="K1184">
        <v>6</v>
      </c>
      <c r="L1184">
        <v>16</v>
      </c>
      <c r="M1184">
        <v>15</v>
      </c>
    </row>
    <row r="1185" spans="1:13" x14ac:dyDescent="0.25">
      <c r="A1185">
        <v>1184</v>
      </c>
      <c r="B1185">
        <v>73</v>
      </c>
      <c r="C1185">
        <v>11</v>
      </c>
      <c r="D1185" s="2">
        <v>42590.061759259261</v>
      </c>
      <c r="E1185" t="s">
        <v>179</v>
      </c>
      <c r="F1185">
        <v>0</v>
      </c>
      <c r="G1185" s="3">
        <v>22</v>
      </c>
      <c r="H1185">
        <v>1775</v>
      </c>
      <c r="I1185" t="s">
        <v>181</v>
      </c>
      <c r="J1185">
        <v>14</v>
      </c>
      <c r="K1185">
        <v>4</v>
      </c>
      <c r="L1185">
        <v>7</v>
      </c>
      <c r="M1185">
        <v>17</v>
      </c>
    </row>
    <row r="1186" spans="1:13" x14ac:dyDescent="0.25">
      <c r="A1186">
        <v>1185</v>
      </c>
      <c r="B1186">
        <v>73</v>
      </c>
      <c r="C1186">
        <v>23</v>
      </c>
      <c r="D1186" s="2">
        <v>42590.999421296299</v>
      </c>
      <c r="E1186" t="s">
        <v>179</v>
      </c>
      <c r="F1186">
        <v>90</v>
      </c>
      <c r="G1186" s="3">
        <v>23</v>
      </c>
      <c r="H1186">
        <v>1740</v>
      </c>
      <c r="I1186" t="s">
        <v>181</v>
      </c>
      <c r="J1186">
        <v>17</v>
      </c>
      <c r="K1186">
        <v>14</v>
      </c>
      <c r="L1186">
        <v>4</v>
      </c>
      <c r="M1186">
        <v>7</v>
      </c>
    </row>
    <row r="1187" spans="1:13" x14ac:dyDescent="0.25">
      <c r="A1187">
        <v>1186</v>
      </c>
      <c r="B1187">
        <v>73</v>
      </c>
      <c r="C1187">
        <v>27</v>
      </c>
      <c r="D1187" s="2">
        <v>42589.885509259257</v>
      </c>
      <c r="E1187" t="s">
        <v>179</v>
      </c>
      <c r="F1187">
        <v>300</v>
      </c>
      <c r="G1187" s="3">
        <v>24</v>
      </c>
      <c r="H1187">
        <v>1894</v>
      </c>
      <c r="I1187" t="s">
        <v>181</v>
      </c>
      <c r="J1187">
        <v>4</v>
      </c>
      <c r="K1187">
        <v>17</v>
      </c>
      <c r="L1187">
        <v>17</v>
      </c>
      <c r="M1187">
        <v>4</v>
      </c>
    </row>
    <row r="1188" spans="1:13" x14ac:dyDescent="0.25">
      <c r="A1188">
        <v>1187</v>
      </c>
      <c r="B1188">
        <v>73</v>
      </c>
      <c r="C1188">
        <v>31</v>
      </c>
      <c r="D1188" s="2">
        <v>42591.812754629631</v>
      </c>
      <c r="E1188" t="s">
        <v>179</v>
      </c>
      <c r="F1188">
        <v>150</v>
      </c>
      <c r="G1188" s="3">
        <v>25</v>
      </c>
      <c r="H1188">
        <v>1791</v>
      </c>
      <c r="I1188" t="s">
        <v>181</v>
      </c>
      <c r="J1188">
        <v>12</v>
      </c>
      <c r="K1188">
        <v>15</v>
      </c>
      <c r="L1188">
        <v>9</v>
      </c>
      <c r="M1188">
        <v>6</v>
      </c>
    </row>
    <row r="1189" spans="1:13" x14ac:dyDescent="0.25">
      <c r="A1189">
        <v>1188</v>
      </c>
      <c r="B1189">
        <v>73</v>
      </c>
      <c r="C1189">
        <v>16</v>
      </c>
      <c r="D1189" s="2">
        <v>42591.74</v>
      </c>
      <c r="E1189" t="s">
        <v>179</v>
      </c>
      <c r="F1189">
        <v>0</v>
      </c>
      <c r="G1189" s="3">
        <v>26</v>
      </c>
      <c r="H1189">
        <v>0</v>
      </c>
      <c r="I1189" t="s">
        <v>180</v>
      </c>
      <c r="J1189">
        <v>0</v>
      </c>
      <c r="K1189">
        <v>0</v>
      </c>
      <c r="L1189">
        <v>0</v>
      </c>
      <c r="M1189">
        <v>0</v>
      </c>
    </row>
    <row r="1190" spans="1:13" x14ac:dyDescent="0.25">
      <c r="A1190">
        <v>1189</v>
      </c>
      <c r="B1190">
        <v>73</v>
      </c>
      <c r="C1190">
        <v>2</v>
      </c>
      <c r="D1190" s="2">
        <v>42587.940706018519</v>
      </c>
      <c r="E1190" t="s">
        <v>179</v>
      </c>
      <c r="F1190">
        <v>0</v>
      </c>
      <c r="G1190" s="3">
        <v>27</v>
      </c>
      <c r="H1190">
        <v>0</v>
      </c>
      <c r="I1190" t="s">
        <v>182</v>
      </c>
      <c r="J1190">
        <v>0</v>
      </c>
      <c r="K1190">
        <v>0</v>
      </c>
      <c r="L1190">
        <v>0</v>
      </c>
      <c r="M1190">
        <v>0</v>
      </c>
    </row>
    <row r="1191" spans="1:13" x14ac:dyDescent="0.25">
      <c r="A1191">
        <v>1190</v>
      </c>
      <c r="B1191">
        <v>74</v>
      </c>
      <c r="C1191">
        <v>15</v>
      </c>
      <c r="D1191" s="2">
        <v>42613.001400462963</v>
      </c>
      <c r="E1191" t="s">
        <v>179</v>
      </c>
      <c r="F1191">
        <v>30</v>
      </c>
      <c r="G1191" s="3">
        <v>1</v>
      </c>
      <c r="H1191">
        <v>0</v>
      </c>
      <c r="I1191" t="s">
        <v>182</v>
      </c>
      <c r="J1191">
        <v>0</v>
      </c>
      <c r="K1191">
        <v>0</v>
      </c>
      <c r="L1191">
        <v>0</v>
      </c>
      <c r="M1191">
        <v>0</v>
      </c>
    </row>
    <row r="1192" spans="1:13" x14ac:dyDescent="0.25">
      <c r="A1192">
        <v>1191</v>
      </c>
      <c r="B1192">
        <v>74</v>
      </c>
      <c r="C1192">
        <v>1</v>
      </c>
      <c r="D1192" s="2">
        <v>42612.40252314815</v>
      </c>
      <c r="E1192" t="s">
        <v>179</v>
      </c>
      <c r="F1192">
        <v>300</v>
      </c>
      <c r="G1192" s="3">
        <v>2</v>
      </c>
      <c r="H1192">
        <v>1459</v>
      </c>
      <c r="I1192" t="s">
        <v>181</v>
      </c>
      <c r="J1192">
        <v>15</v>
      </c>
      <c r="K1192">
        <v>20</v>
      </c>
      <c r="L1192">
        <v>6</v>
      </c>
      <c r="M1192">
        <v>1</v>
      </c>
    </row>
    <row r="1193" spans="1:13" x14ac:dyDescent="0.25">
      <c r="A1193">
        <v>1192</v>
      </c>
      <c r="B1193">
        <v>74</v>
      </c>
      <c r="C1193">
        <v>23</v>
      </c>
      <c r="D1193" s="2">
        <v>42602.689745370371</v>
      </c>
      <c r="E1193" t="s">
        <v>179</v>
      </c>
      <c r="F1193">
        <v>270</v>
      </c>
      <c r="G1193" s="3">
        <v>3</v>
      </c>
      <c r="H1193">
        <v>1453</v>
      </c>
      <c r="I1193" t="s">
        <v>181</v>
      </c>
      <c r="J1193">
        <v>17</v>
      </c>
      <c r="K1193">
        <v>19</v>
      </c>
      <c r="L1193">
        <v>4</v>
      </c>
      <c r="M1193">
        <v>2</v>
      </c>
    </row>
    <row r="1194" spans="1:13" x14ac:dyDescent="0.25">
      <c r="A1194">
        <v>1193</v>
      </c>
      <c r="B1194">
        <v>74</v>
      </c>
      <c r="C1194">
        <v>14</v>
      </c>
      <c r="D1194" s="2">
        <v>42616.215856481482</v>
      </c>
      <c r="E1194" t="s">
        <v>179</v>
      </c>
      <c r="F1194">
        <v>30</v>
      </c>
      <c r="G1194" s="3">
        <v>4</v>
      </c>
      <c r="H1194">
        <v>1304</v>
      </c>
      <c r="I1194" t="s">
        <v>181</v>
      </c>
      <c r="J1194">
        <v>20</v>
      </c>
      <c r="K1194">
        <v>18</v>
      </c>
      <c r="L1194">
        <v>1</v>
      </c>
      <c r="M1194">
        <v>3</v>
      </c>
    </row>
    <row r="1195" spans="1:13" x14ac:dyDescent="0.25">
      <c r="A1195">
        <v>1194</v>
      </c>
      <c r="B1195">
        <v>74</v>
      </c>
      <c r="C1195">
        <v>18</v>
      </c>
      <c r="D1195" s="2">
        <v>42599.502384259256</v>
      </c>
      <c r="E1195" t="s">
        <v>179</v>
      </c>
      <c r="F1195">
        <v>0</v>
      </c>
      <c r="G1195" s="3">
        <v>5</v>
      </c>
      <c r="H1195">
        <v>1349</v>
      </c>
      <c r="I1195" t="s">
        <v>181</v>
      </c>
      <c r="J1195">
        <v>18</v>
      </c>
      <c r="K1195">
        <v>15</v>
      </c>
      <c r="L1195">
        <v>3</v>
      </c>
      <c r="M1195">
        <v>6</v>
      </c>
    </row>
    <row r="1196" spans="1:13" x14ac:dyDescent="0.25">
      <c r="A1196">
        <v>1195</v>
      </c>
      <c r="B1196">
        <v>74</v>
      </c>
      <c r="C1196">
        <v>31</v>
      </c>
      <c r="D1196" s="2">
        <v>42602.604050925926</v>
      </c>
      <c r="E1196" t="s">
        <v>179</v>
      </c>
      <c r="F1196">
        <v>150</v>
      </c>
      <c r="G1196" s="3">
        <v>6</v>
      </c>
      <c r="H1196">
        <v>0</v>
      </c>
      <c r="I1196" t="s">
        <v>182</v>
      </c>
      <c r="J1196">
        <v>0</v>
      </c>
      <c r="K1196">
        <v>0</v>
      </c>
      <c r="L1196">
        <v>0</v>
      </c>
      <c r="M1196">
        <v>0</v>
      </c>
    </row>
    <row r="1197" spans="1:13" x14ac:dyDescent="0.25">
      <c r="A1197">
        <v>1196</v>
      </c>
      <c r="B1197">
        <v>74</v>
      </c>
      <c r="C1197">
        <v>25</v>
      </c>
      <c r="D1197" s="2">
        <v>42613.995208333334</v>
      </c>
      <c r="E1197" t="s">
        <v>179</v>
      </c>
      <c r="F1197">
        <v>120</v>
      </c>
      <c r="G1197" s="3">
        <v>7</v>
      </c>
      <c r="H1197">
        <v>1454</v>
      </c>
      <c r="I1197" t="s">
        <v>181</v>
      </c>
      <c r="J1197">
        <v>16</v>
      </c>
      <c r="K1197">
        <v>16</v>
      </c>
      <c r="L1197">
        <v>5</v>
      </c>
      <c r="M1197">
        <v>5</v>
      </c>
    </row>
    <row r="1198" spans="1:13" x14ac:dyDescent="0.25">
      <c r="A1198">
        <v>1197</v>
      </c>
      <c r="B1198">
        <v>74</v>
      </c>
      <c r="C1198">
        <v>29</v>
      </c>
      <c r="D1198" s="2">
        <v>42594.518043981479</v>
      </c>
      <c r="E1198" t="s">
        <v>179</v>
      </c>
      <c r="F1198">
        <v>0</v>
      </c>
      <c r="G1198" s="3">
        <v>8</v>
      </c>
      <c r="H1198">
        <v>1311</v>
      </c>
      <c r="I1198" t="s">
        <v>181</v>
      </c>
      <c r="J1198">
        <v>19</v>
      </c>
      <c r="K1198">
        <v>17</v>
      </c>
      <c r="L1198">
        <v>2</v>
      </c>
      <c r="M1198">
        <v>4</v>
      </c>
    </row>
    <row r="1199" spans="1:13" x14ac:dyDescent="0.25">
      <c r="A1199">
        <v>1198</v>
      </c>
      <c r="B1199">
        <v>75</v>
      </c>
      <c r="C1199">
        <v>13</v>
      </c>
      <c r="D1199" s="2">
        <v>42623.694120370368</v>
      </c>
      <c r="E1199" t="s">
        <v>179</v>
      </c>
      <c r="F1199">
        <v>270</v>
      </c>
      <c r="G1199" s="3">
        <v>1</v>
      </c>
      <c r="H1199">
        <v>1394</v>
      </c>
      <c r="I1199" t="s">
        <v>181</v>
      </c>
      <c r="J1199">
        <v>5</v>
      </c>
      <c r="K1199">
        <v>13</v>
      </c>
      <c r="L1199">
        <v>16</v>
      </c>
      <c r="M1199">
        <v>8</v>
      </c>
    </row>
    <row r="1200" spans="1:13" x14ac:dyDescent="0.25">
      <c r="A1200">
        <v>1199</v>
      </c>
      <c r="B1200">
        <v>75</v>
      </c>
      <c r="C1200">
        <v>11</v>
      </c>
      <c r="D1200" s="2">
        <v>42617.258622685185</v>
      </c>
      <c r="E1200" t="s">
        <v>179</v>
      </c>
      <c r="F1200">
        <v>240</v>
      </c>
      <c r="G1200" s="3">
        <v>2</v>
      </c>
      <c r="H1200">
        <v>1257</v>
      </c>
      <c r="I1200" t="s">
        <v>181</v>
      </c>
      <c r="J1200">
        <v>18</v>
      </c>
      <c r="K1200">
        <v>18</v>
      </c>
      <c r="L1200">
        <v>3</v>
      </c>
      <c r="M1200">
        <v>3</v>
      </c>
    </row>
    <row r="1201" spans="1:13" x14ac:dyDescent="0.25">
      <c r="A1201">
        <v>1200</v>
      </c>
      <c r="B1201">
        <v>75</v>
      </c>
      <c r="C1201">
        <v>25</v>
      </c>
      <c r="D1201" s="2">
        <v>42619.852800925924</v>
      </c>
      <c r="E1201" t="s">
        <v>179</v>
      </c>
      <c r="F1201">
        <v>90</v>
      </c>
      <c r="G1201" s="3">
        <v>3</v>
      </c>
      <c r="H1201">
        <v>1305</v>
      </c>
      <c r="I1201" t="s">
        <v>181</v>
      </c>
      <c r="J1201">
        <v>13</v>
      </c>
      <c r="K1201">
        <v>9</v>
      </c>
      <c r="L1201">
        <v>8</v>
      </c>
      <c r="M1201">
        <v>12</v>
      </c>
    </row>
    <row r="1202" spans="1:13" x14ac:dyDescent="0.25">
      <c r="A1202">
        <v>1201</v>
      </c>
      <c r="B1202">
        <v>75</v>
      </c>
      <c r="C1202">
        <v>22</v>
      </c>
      <c r="D1202" s="2">
        <v>42620.418009259258</v>
      </c>
      <c r="E1202" t="s">
        <v>179</v>
      </c>
      <c r="F1202">
        <v>300</v>
      </c>
      <c r="G1202" s="3">
        <v>4</v>
      </c>
      <c r="H1202">
        <v>1352</v>
      </c>
      <c r="I1202" t="s">
        <v>181</v>
      </c>
      <c r="J1202">
        <v>9</v>
      </c>
      <c r="K1202">
        <v>17</v>
      </c>
      <c r="L1202">
        <v>12</v>
      </c>
      <c r="M1202">
        <v>4</v>
      </c>
    </row>
    <row r="1203" spans="1:13" x14ac:dyDescent="0.25">
      <c r="A1203">
        <v>1202</v>
      </c>
      <c r="B1203">
        <v>75</v>
      </c>
      <c r="C1203">
        <v>6</v>
      </c>
      <c r="D1203" s="2">
        <v>42620.721400462964</v>
      </c>
      <c r="E1203" t="s">
        <v>179</v>
      </c>
      <c r="F1203">
        <v>150</v>
      </c>
      <c r="G1203" s="3">
        <v>5</v>
      </c>
      <c r="H1203">
        <v>1399</v>
      </c>
      <c r="I1203" t="s">
        <v>181</v>
      </c>
      <c r="J1203">
        <v>4</v>
      </c>
      <c r="K1203">
        <v>6</v>
      </c>
      <c r="L1203">
        <v>17</v>
      </c>
      <c r="M1203">
        <v>15</v>
      </c>
    </row>
    <row r="1204" spans="1:13" x14ac:dyDescent="0.25">
      <c r="A1204">
        <v>1203</v>
      </c>
      <c r="B1204">
        <v>75</v>
      </c>
      <c r="C1204">
        <v>27</v>
      </c>
      <c r="D1204" s="2">
        <v>42622.32739583333</v>
      </c>
      <c r="E1204" t="s">
        <v>179</v>
      </c>
      <c r="F1204">
        <v>30</v>
      </c>
      <c r="G1204" s="3">
        <v>6</v>
      </c>
      <c r="H1204">
        <v>1262</v>
      </c>
      <c r="I1204" t="s">
        <v>181</v>
      </c>
      <c r="J1204">
        <v>17</v>
      </c>
      <c r="K1204">
        <v>7</v>
      </c>
      <c r="L1204">
        <v>4</v>
      </c>
      <c r="M1204">
        <v>14</v>
      </c>
    </row>
    <row r="1205" spans="1:13" x14ac:dyDescent="0.25">
      <c r="A1205">
        <v>1204</v>
      </c>
      <c r="B1205">
        <v>75</v>
      </c>
      <c r="C1205">
        <v>2</v>
      </c>
      <c r="D1205" s="2">
        <v>42616.839120370372</v>
      </c>
      <c r="E1205" t="s">
        <v>179</v>
      </c>
      <c r="F1205">
        <v>0</v>
      </c>
      <c r="G1205" s="3">
        <v>7</v>
      </c>
      <c r="H1205">
        <v>1309</v>
      </c>
      <c r="I1205" t="s">
        <v>181</v>
      </c>
      <c r="J1205">
        <v>12</v>
      </c>
      <c r="K1205">
        <v>5</v>
      </c>
      <c r="L1205">
        <v>9</v>
      </c>
      <c r="M1205">
        <v>16</v>
      </c>
    </row>
    <row r="1206" spans="1:13" x14ac:dyDescent="0.25">
      <c r="A1206">
        <v>1205</v>
      </c>
      <c r="B1206">
        <v>75</v>
      </c>
      <c r="C1206">
        <v>5</v>
      </c>
      <c r="D1206" s="2">
        <v>42616.445798611108</v>
      </c>
      <c r="E1206" t="s">
        <v>179</v>
      </c>
      <c r="F1206">
        <v>180</v>
      </c>
      <c r="G1206" s="3">
        <v>8</v>
      </c>
      <c r="H1206">
        <v>0</v>
      </c>
      <c r="I1206" t="s">
        <v>182</v>
      </c>
      <c r="J1206">
        <v>0</v>
      </c>
      <c r="K1206">
        <v>0</v>
      </c>
      <c r="L1206">
        <v>0</v>
      </c>
      <c r="M1206">
        <v>0</v>
      </c>
    </row>
    <row r="1207" spans="1:13" x14ac:dyDescent="0.25">
      <c r="A1207">
        <v>1206</v>
      </c>
      <c r="B1207">
        <v>75</v>
      </c>
      <c r="C1207">
        <v>20</v>
      </c>
      <c r="D1207" s="2">
        <v>42621.209699074076</v>
      </c>
      <c r="E1207" t="s">
        <v>179</v>
      </c>
      <c r="F1207">
        <v>270</v>
      </c>
      <c r="G1207" s="3">
        <v>9</v>
      </c>
      <c r="H1207">
        <v>1326</v>
      </c>
      <c r="I1207" t="s">
        <v>181</v>
      </c>
      <c r="J1207">
        <v>10</v>
      </c>
      <c r="K1207">
        <v>15</v>
      </c>
      <c r="L1207">
        <v>11</v>
      </c>
      <c r="M1207">
        <v>6</v>
      </c>
    </row>
    <row r="1208" spans="1:13" x14ac:dyDescent="0.25">
      <c r="A1208">
        <v>1207</v>
      </c>
      <c r="B1208">
        <v>75</v>
      </c>
      <c r="C1208">
        <v>10</v>
      </c>
      <c r="D1208" s="2">
        <v>42616.482997685183</v>
      </c>
      <c r="E1208" t="s">
        <v>179</v>
      </c>
      <c r="F1208">
        <v>240</v>
      </c>
      <c r="G1208" s="3">
        <v>10</v>
      </c>
      <c r="H1208">
        <v>1310</v>
      </c>
      <c r="I1208" t="s">
        <v>181</v>
      </c>
      <c r="J1208">
        <v>11</v>
      </c>
      <c r="K1208">
        <v>14</v>
      </c>
      <c r="L1208">
        <v>10</v>
      </c>
      <c r="M1208">
        <v>7</v>
      </c>
    </row>
    <row r="1209" spans="1:13" x14ac:dyDescent="0.25">
      <c r="A1209">
        <v>1208</v>
      </c>
      <c r="B1209">
        <v>75</v>
      </c>
      <c r="C1209">
        <v>19</v>
      </c>
      <c r="D1209" s="2">
        <v>42620.745682870373</v>
      </c>
      <c r="E1209" t="s">
        <v>179</v>
      </c>
      <c r="F1209">
        <v>90</v>
      </c>
      <c r="G1209" s="3">
        <v>11</v>
      </c>
      <c r="H1209">
        <v>1295</v>
      </c>
      <c r="I1209" t="s">
        <v>181</v>
      </c>
      <c r="J1209">
        <v>14</v>
      </c>
      <c r="K1209">
        <v>10</v>
      </c>
      <c r="L1209">
        <v>7</v>
      </c>
      <c r="M1209">
        <v>11</v>
      </c>
    </row>
    <row r="1210" spans="1:13" x14ac:dyDescent="0.25">
      <c r="A1210">
        <v>1209</v>
      </c>
      <c r="B1210">
        <v>75</v>
      </c>
      <c r="C1210">
        <v>9</v>
      </c>
      <c r="D1210" s="2">
        <v>42622.686157407406</v>
      </c>
      <c r="E1210" t="s">
        <v>179</v>
      </c>
      <c r="F1210">
        <v>60</v>
      </c>
      <c r="G1210" s="3">
        <v>12</v>
      </c>
      <c r="H1210">
        <v>1279</v>
      </c>
      <c r="I1210" t="s">
        <v>181</v>
      </c>
      <c r="J1210">
        <v>15</v>
      </c>
      <c r="K1210">
        <v>8</v>
      </c>
      <c r="L1210">
        <v>6</v>
      </c>
      <c r="M1210">
        <v>13</v>
      </c>
    </row>
    <row r="1211" spans="1:13" x14ac:dyDescent="0.25">
      <c r="A1211">
        <v>1210</v>
      </c>
      <c r="B1211">
        <v>75</v>
      </c>
      <c r="C1211">
        <v>4</v>
      </c>
      <c r="D1211" s="2">
        <v>42616.876817129632</v>
      </c>
      <c r="E1211" t="s">
        <v>179</v>
      </c>
      <c r="F1211">
        <v>270</v>
      </c>
      <c r="G1211" s="3">
        <v>13</v>
      </c>
      <c r="H1211">
        <v>1263</v>
      </c>
      <c r="I1211" t="s">
        <v>181</v>
      </c>
      <c r="J1211">
        <v>16</v>
      </c>
      <c r="K1211">
        <v>20</v>
      </c>
      <c r="L1211">
        <v>5</v>
      </c>
      <c r="M1211">
        <v>1</v>
      </c>
    </row>
    <row r="1212" spans="1:13" x14ac:dyDescent="0.25">
      <c r="A1212">
        <v>1211</v>
      </c>
      <c r="B1212">
        <v>75</v>
      </c>
      <c r="C1212">
        <v>8</v>
      </c>
      <c r="D1212" s="2">
        <v>42618.151319444441</v>
      </c>
      <c r="E1212" t="s">
        <v>179</v>
      </c>
      <c r="F1212">
        <v>240</v>
      </c>
      <c r="G1212" s="3">
        <v>14</v>
      </c>
      <c r="H1212">
        <v>1248</v>
      </c>
      <c r="I1212" t="s">
        <v>181</v>
      </c>
      <c r="J1212">
        <v>19</v>
      </c>
      <c r="K1212">
        <v>19</v>
      </c>
      <c r="L1212">
        <v>2</v>
      </c>
      <c r="M1212">
        <v>2</v>
      </c>
    </row>
    <row r="1213" spans="1:13" x14ac:dyDescent="0.25">
      <c r="A1213">
        <v>1212</v>
      </c>
      <c r="B1213">
        <v>75</v>
      </c>
      <c r="C1213">
        <v>21</v>
      </c>
      <c r="D1213" s="2">
        <v>42620.091284722221</v>
      </c>
      <c r="E1213" t="s">
        <v>179</v>
      </c>
      <c r="F1213">
        <v>180</v>
      </c>
      <c r="G1213" s="3">
        <v>15</v>
      </c>
      <c r="H1213">
        <v>1232</v>
      </c>
      <c r="I1213" t="s">
        <v>181</v>
      </c>
      <c r="J1213">
        <v>20</v>
      </c>
      <c r="K1213">
        <v>17</v>
      </c>
      <c r="L1213">
        <v>1</v>
      </c>
      <c r="M1213">
        <v>4</v>
      </c>
    </row>
    <row r="1214" spans="1:13" x14ac:dyDescent="0.25">
      <c r="A1214">
        <v>1213</v>
      </c>
      <c r="B1214">
        <v>75</v>
      </c>
      <c r="C1214">
        <v>7</v>
      </c>
      <c r="D1214" s="2">
        <v>42622.323425925926</v>
      </c>
      <c r="E1214" t="s">
        <v>179</v>
      </c>
      <c r="F1214">
        <v>60</v>
      </c>
      <c r="G1214" s="3">
        <v>16</v>
      </c>
      <c r="H1214">
        <v>1400</v>
      </c>
      <c r="I1214" t="s">
        <v>181</v>
      </c>
      <c r="J1214">
        <v>3</v>
      </c>
      <c r="K1214">
        <v>4</v>
      </c>
      <c r="L1214">
        <v>18</v>
      </c>
      <c r="M1214">
        <v>17</v>
      </c>
    </row>
    <row r="1215" spans="1:13" x14ac:dyDescent="0.25">
      <c r="A1215">
        <v>1214</v>
      </c>
      <c r="B1215">
        <v>75</v>
      </c>
      <c r="C1215">
        <v>17</v>
      </c>
      <c r="D1215" s="2">
        <v>42616.544641203705</v>
      </c>
      <c r="E1215" t="s">
        <v>179</v>
      </c>
      <c r="F1215">
        <v>30</v>
      </c>
      <c r="G1215" s="3">
        <v>17</v>
      </c>
      <c r="H1215">
        <v>1384</v>
      </c>
      <c r="I1215" t="s">
        <v>181</v>
      </c>
      <c r="J1215">
        <v>6</v>
      </c>
      <c r="K1215">
        <v>3</v>
      </c>
      <c r="L1215">
        <v>15</v>
      </c>
      <c r="M1215">
        <v>18</v>
      </c>
    </row>
    <row r="1216" spans="1:13" x14ac:dyDescent="0.25">
      <c r="A1216">
        <v>1215</v>
      </c>
      <c r="B1216">
        <v>75</v>
      </c>
      <c r="C1216">
        <v>26</v>
      </c>
      <c r="D1216" s="2">
        <v>42618.818449074075</v>
      </c>
      <c r="E1216" t="s">
        <v>179</v>
      </c>
      <c r="F1216">
        <v>240</v>
      </c>
      <c r="G1216" s="3">
        <v>18</v>
      </c>
      <c r="H1216">
        <v>1369</v>
      </c>
      <c r="I1216" t="s">
        <v>181</v>
      </c>
      <c r="J1216">
        <v>7</v>
      </c>
      <c r="K1216">
        <v>12</v>
      </c>
      <c r="L1216">
        <v>14</v>
      </c>
      <c r="M1216">
        <v>9</v>
      </c>
    </row>
    <row r="1217" spans="1:13" x14ac:dyDescent="0.25">
      <c r="A1217">
        <v>1216</v>
      </c>
      <c r="B1217">
        <v>75</v>
      </c>
      <c r="C1217">
        <v>31</v>
      </c>
      <c r="D1217" s="2">
        <v>42620.758402777778</v>
      </c>
      <c r="E1217" t="s">
        <v>179</v>
      </c>
      <c r="F1217">
        <v>180</v>
      </c>
      <c r="G1217" s="3">
        <v>19</v>
      </c>
      <c r="H1217">
        <v>1353</v>
      </c>
      <c r="I1217" t="s">
        <v>181</v>
      </c>
      <c r="J1217">
        <v>8</v>
      </c>
      <c r="K1217">
        <v>11</v>
      </c>
      <c r="L1217">
        <v>13</v>
      </c>
      <c r="M1217">
        <v>10</v>
      </c>
    </row>
    <row r="1218" spans="1:13" x14ac:dyDescent="0.25">
      <c r="A1218">
        <v>1217</v>
      </c>
      <c r="B1218">
        <v>76</v>
      </c>
      <c r="C1218">
        <v>3</v>
      </c>
      <c r="D1218" s="2">
        <v>42630.413287037038</v>
      </c>
      <c r="E1218" t="s">
        <v>179</v>
      </c>
      <c r="F1218">
        <v>0</v>
      </c>
      <c r="G1218" s="3">
        <v>1</v>
      </c>
      <c r="H1218">
        <v>0</v>
      </c>
      <c r="I1218" t="s">
        <v>180</v>
      </c>
      <c r="J1218">
        <v>0</v>
      </c>
      <c r="K1218">
        <v>0</v>
      </c>
      <c r="L1218">
        <v>0</v>
      </c>
      <c r="M1218">
        <v>0</v>
      </c>
    </row>
    <row r="1219" spans="1:13" x14ac:dyDescent="0.25">
      <c r="A1219">
        <v>1218</v>
      </c>
      <c r="B1219">
        <v>76</v>
      </c>
      <c r="C1219">
        <v>9</v>
      </c>
      <c r="D1219" s="2">
        <v>42623.465532407405</v>
      </c>
      <c r="E1219" t="s">
        <v>179</v>
      </c>
      <c r="F1219">
        <v>120</v>
      </c>
      <c r="G1219" s="3">
        <v>2</v>
      </c>
      <c r="H1219">
        <v>0</v>
      </c>
      <c r="I1219" t="s">
        <v>182</v>
      </c>
      <c r="J1219">
        <v>0</v>
      </c>
      <c r="K1219">
        <v>0</v>
      </c>
      <c r="L1219">
        <v>0</v>
      </c>
      <c r="M1219">
        <v>0</v>
      </c>
    </row>
    <row r="1220" spans="1:13" x14ac:dyDescent="0.25">
      <c r="A1220">
        <v>1219</v>
      </c>
      <c r="B1220">
        <v>76</v>
      </c>
      <c r="C1220">
        <v>25</v>
      </c>
      <c r="D1220" s="2">
        <v>42630.266261574077</v>
      </c>
      <c r="E1220" t="s">
        <v>179</v>
      </c>
      <c r="F1220">
        <v>180</v>
      </c>
      <c r="G1220" s="3">
        <v>3</v>
      </c>
      <c r="H1220">
        <v>1316</v>
      </c>
      <c r="I1220" t="s">
        <v>181</v>
      </c>
      <c r="J1220">
        <v>14</v>
      </c>
      <c r="K1220">
        <v>17</v>
      </c>
      <c r="L1220">
        <v>7</v>
      </c>
      <c r="M1220">
        <v>4</v>
      </c>
    </row>
    <row r="1221" spans="1:13" x14ac:dyDescent="0.25">
      <c r="A1221">
        <v>1220</v>
      </c>
      <c r="B1221">
        <v>76</v>
      </c>
      <c r="C1221">
        <v>1</v>
      </c>
      <c r="D1221" s="2">
        <v>42627.179629629631</v>
      </c>
      <c r="E1221" t="s">
        <v>179</v>
      </c>
      <c r="F1221">
        <v>270</v>
      </c>
      <c r="G1221" s="3">
        <v>4</v>
      </c>
      <c r="H1221">
        <v>1247</v>
      </c>
      <c r="I1221" t="s">
        <v>181</v>
      </c>
      <c r="J1221">
        <v>18</v>
      </c>
      <c r="K1221">
        <v>20</v>
      </c>
      <c r="L1221">
        <v>3</v>
      </c>
      <c r="M1221">
        <v>1</v>
      </c>
    </row>
    <row r="1222" spans="1:13" x14ac:dyDescent="0.25">
      <c r="A1222">
        <v>1221</v>
      </c>
      <c r="B1222">
        <v>76</v>
      </c>
      <c r="C1222">
        <v>15</v>
      </c>
      <c r="D1222" s="2">
        <v>42624.134675925925</v>
      </c>
      <c r="E1222" t="s">
        <v>179</v>
      </c>
      <c r="F1222">
        <v>0</v>
      </c>
      <c r="G1222" s="3">
        <v>5</v>
      </c>
      <c r="H1222">
        <v>1226</v>
      </c>
      <c r="I1222" t="s">
        <v>181</v>
      </c>
      <c r="J1222">
        <v>20</v>
      </c>
      <c r="K1222">
        <v>12</v>
      </c>
      <c r="L1222">
        <v>1</v>
      </c>
      <c r="M1222">
        <v>9</v>
      </c>
    </row>
    <row r="1223" spans="1:13" x14ac:dyDescent="0.25">
      <c r="A1223">
        <v>1222</v>
      </c>
      <c r="B1223">
        <v>76</v>
      </c>
      <c r="C1223">
        <v>13</v>
      </c>
      <c r="D1223" s="2">
        <v>42623.339016203703</v>
      </c>
      <c r="E1223" t="s">
        <v>179</v>
      </c>
      <c r="F1223">
        <v>0</v>
      </c>
      <c r="G1223" s="3">
        <v>6</v>
      </c>
      <c r="H1223">
        <v>1341</v>
      </c>
      <c r="I1223" t="s">
        <v>181</v>
      </c>
      <c r="J1223">
        <v>11</v>
      </c>
      <c r="K1223">
        <v>7</v>
      </c>
      <c r="L1223">
        <v>10</v>
      </c>
      <c r="M1223">
        <v>14</v>
      </c>
    </row>
    <row r="1224" spans="1:13" x14ac:dyDescent="0.25">
      <c r="A1224">
        <v>1223</v>
      </c>
      <c r="B1224">
        <v>76</v>
      </c>
      <c r="C1224">
        <v>8</v>
      </c>
      <c r="D1224" s="2">
        <v>42627.252395833333</v>
      </c>
      <c r="E1224" t="s">
        <v>179</v>
      </c>
      <c r="F1224">
        <v>60</v>
      </c>
      <c r="G1224" s="3">
        <v>7</v>
      </c>
      <c r="H1224">
        <v>1320</v>
      </c>
      <c r="I1224" t="s">
        <v>181</v>
      </c>
      <c r="J1224">
        <v>13</v>
      </c>
      <c r="K1224">
        <v>10</v>
      </c>
      <c r="L1224">
        <v>8</v>
      </c>
      <c r="M1224">
        <v>11</v>
      </c>
    </row>
    <row r="1225" spans="1:13" x14ac:dyDescent="0.25">
      <c r="A1225">
        <v>1224</v>
      </c>
      <c r="B1225">
        <v>76</v>
      </c>
      <c r="C1225">
        <v>4</v>
      </c>
      <c r="D1225" s="2">
        <v>42624.249282407407</v>
      </c>
      <c r="E1225" t="s">
        <v>179</v>
      </c>
      <c r="F1225">
        <v>120</v>
      </c>
      <c r="G1225" s="3">
        <v>8</v>
      </c>
      <c r="H1225">
        <v>1300</v>
      </c>
      <c r="I1225" t="s">
        <v>181</v>
      </c>
      <c r="J1225">
        <v>15</v>
      </c>
      <c r="K1225">
        <v>16</v>
      </c>
      <c r="L1225">
        <v>6</v>
      </c>
      <c r="M1225">
        <v>5</v>
      </c>
    </row>
    <row r="1226" spans="1:13" x14ac:dyDescent="0.25">
      <c r="A1226">
        <v>1225</v>
      </c>
      <c r="B1226">
        <v>76</v>
      </c>
      <c r="C1226">
        <v>16</v>
      </c>
      <c r="D1226" s="2">
        <v>42629.453622685185</v>
      </c>
      <c r="E1226" t="s">
        <v>179</v>
      </c>
      <c r="F1226">
        <v>120</v>
      </c>
      <c r="G1226" s="3">
        <v>9</v>
      </c>
      <c r="H1226">
        <v>1231</v>
      </c>
      <c r="I1226" t="s">
        <v>181</v>
      </c>
      <c r="J1226">
        <v>19</v>
      </c>
      <c r="K1226">
        <v>19</v>
      </c>
      <c r="L1226">
        <v>2</v>
      </c>
      <c r="M1226">
        <v>2</v>
      </c>
    </row>
    <row r="1227" spans="1:13" x14ac:dyDescent="0.25">
      <c r="A1227">
        <v>1226</v>
      </c>
      <c r="B1227">
        <v>76</v>
      </c>
      <c r="C1227">
        <v>7</v>
      </c>
      <c r="D1227" s="2">
        <v>42626.366307870368</v>
      </c>
      <c r="E1227" t="s">
        <v>179</v>
      </c>
      <c r="F1227">
        <v>180</v>
      </c>
      <c r="G1227" s="3">
        <v>10</v>
      </c>
      <c r="H1227">
        <v>1394</v>
      </c>
      <c r="I1227" t="s">
        <v>181</v>
      </c>
      <c r="J1227">
        <v>9</v>
      </c>
      <c r="K1227">
        <v>14</v>
      </c>
      <c r="L1227">
        <v>12</v>
      </c>
      <c r="M1227">
        <v>7</v>
      </c>
    </row>
    <row r="1228" spans="1:13" x14ac:dyDescent="0.25">
      <c r="A1228">
        <v>1227</v>
      </c>
      <c r="B1228">
        <v>76</v>
      </c>
      <c r="C1228">
        <v>20</v>
      </c>
      <c r="D1228" s="2">
        <v>42625.321342592593</v>
      </c>
      <c r="E1228" t="s">
        <v>179</v>
      </c>
      <c r="F1228">
        <v>300</v>
      </c>
      <c r="G1228" s="3">
        <v>11</v>
      </c>
      <c r="H1228">
        <v>0</v>
      </c>
      <c r="I1228" t="s">
        <v>180</v>
      </c>
      <c r="J1228">
        <v>0</v>
      </c>
      <c r="K1228">
        <v>0</v>
      </c>
      <c r="L1228">
        <v>0</v>
      </c>
      <c r="M1228">
        <v>0</v>
      </c>
    </row>
    <row r="1229" spans="1:13" x14ac:dyDescent="0.25">
      <c r="A1229">
        <v>1228</v>
      </c>
      <c r="B1229">
        <v>76</v>
      </c>
      <c r="C1229">
        <v>18</v>
      </c>
      <c r="D1229" s="2">
        <v>42623.578125</v>
      </c>
      <c r="E1229" t="s">
        <v>179</v>
      </c>
      <c r="F1229">
        <v>180</v>
      </c>
      <c r="G1229" s="3">
        <v>12</v>
      </c>
      <c r="H1229">
        <v>1394</v>
      </c>
      <c r="I1229" t="s">
        <v>181</v>
      </c>
      <c r="J1229">
        <v>9</v>
      </c>
      <c r="K1229">
        <v>14</v>
      </c>
      <c r="L1229">
        <v>12</v>
      </c>
      <c r="M1229">
        <v>7</v>
      </c>
    </row>
    <row r="1230" spans="1:13" x14ac:dyDescent="0.25">
      <c r="A1230">
        <v>1229</v>
      </c>
      <c r="B1230">
        <v>76</v>
      </c>
      <c r="C1230">
        <v>21</v>
      </c>
      <c r="D1230" s="2">
        <v>42627.478078703702</v>
      </c>
      <c r="E1230" t="s">
        <v>179</v>
      </c>
      <c r="F1230">
        <v>150</v>
      </c>
      <c r="G1230" s="3">
        <v>13</v>
      </c>
      <c r="H1230">
        <v>1266</v>
      </c>
      <c r="I1230" t="s">
        <v>181</v>
      </c>
      <c r="J1230">
        <v>17</v>
      </c>
      <c r="K1230">
        <v>18</v>
      </c>
      <c r="L1230">
        <v>4</v>
      </c>
      <c r="M1230">
        <v>3</v>
      </c>
    </row>
    <row r="1231" spans="1:13" x14ac:dyDescent="0.25">
      <c r="A1231">
        <v>1230</v>
      </c>
      <c r="B1231">
        <v>76</v>
      </c>
      <c r="C1231">
        <v>26</v>
      </c>
      <c r="D1231" s="2">
        <v>42629.336377314816</v>
      </c>
      <c r="E1231" t="s">
        <v>179</v>
      </c>
      <c r="F1231">
        <v>120</v>
      </c>
      <c r="G1231" s="3">
        <v>14</v>
      </c>
      <c r="H1231">
        <v>1372</v>
      </c>
      <c r="I1231" t="s">
        <v>181</v>
      </c>
      <c r="J1231">
        <v>10</v>
      </c>
      <c r="K1231">
        <v>11</v>
      </c>
      <c r="L1231">
        <v>11</v>
      </c>
      <c r="M1231">
        <v>10</v>
      </c>
    </row>
    <row r="1232" spans="1:13" x14ac:dyDescent="0.25">
      <c r="A1232">
        <v>1231</v>
      </c>
      <c r="B1232">
        <v>76</v>
      </c>
      <c r="C1232">
        <v>12</v>
      </c>
      <c r="D1232" s="2">
        <v>42626.986516203702</v>
      </c>
      <c r="E1232" t="s">
        <v>179</v>
      </c>
      <c r="F1232">
        <v>90</v>
      </c>
      <c r="G1232" s="3">
        <v>15</v>
      </c>
      <c r="H1232">
        <v>1293</v>
      </c>
      <c r="I1232" t="s">
        <v>181</v>
      </c>
      <c r="J1232">
        <v>16</v>
      </c>
      <c r="K1232">
        <v>15</v>
      </c>
      <c r="L1232">
        <v>5</v>
      </c>
      <c r="M1232">
        <v>6</v>
      </c>
    </row>
    <row r="1233" spans="1:13" x14ac:dyDescent="0.25">
      <c r="A1233">
        <v>1232</v>
      </c>
      <c r="B1233">
        <v>76</v>
      </c>
      <c r="C1233">
        <v>19</v>
      </c>
      <c r="D1233" s="2">
        <v>42628.855914351851</v>
      </c>
      <c r="E1233" t="s">
        <v>179</v>
      </c>
      <c r="F1233">
        <v>60</v>
      </c>
      <c r="G1233" s="3">
        <v>16</v>
      </c>
      <c r="H1233">
        <v>1398</v>
      </c>
      <c r="I1233" t="s">
        <v>181</v>
      </c>
      <c r="J1233">
        <v>7</v>
      </c>
      <c r="K1233">
        <v>8</v>
      </c>
      <c r="L1233">
        <v>14</v>
      </c>
      <c r="M1233">
        <v>13</v>
      </c>
    </row>
    <row r="1234" spans="1:13" x14ac:dyDescent="0.25">
      <c r="A1234">
        <v>1233</v>
      </c>
      <c r="B1234">
        <v>76</v>
      </c>
      <c r="C1234">
        <v>5</v>
      </c>
      <c r="D1234" s="2">
        <v>42624.464212962965</v>
      </c>
      <c r="E1234" t="s">
        <v>179</v>
      </c>
      <c r="F1234">
        <v>60</v>
      </c>
      <c r="G1234" s="3">
        <v>17</v>
      </c>
      <c r="H1234">
        <v>1320</v>
      </c>
      <c r="I1234" t="s">
        <v>181</v>
      </c>
      <c r="J1234">
        <v>13</v>
      </c>
      <c r="K1234">
        <v>10</v>
      </c>
      <c r="L1234">
        <v>8</v>
      </c>
      <c r="M1234">
        <v>11</v>
      </c>
    </row>
    <row r="1235" spans="1:13" x14ac:dyDescent="0.25">
      <c r="A1235">
        <v>1234</v>
      </c>
      <c r="B1235">
        <v>77</v>
      </c>
      <c r="C1235">
        <v>17</v>
      </c>
      <c r="D1235" s="2">
        <v>42633.333078703705</v>
      </c>
      <c r="E1235" t="s">
        <v>179</v>
      </c>
      <c r="F1235">
        <v>180</v>
      </c>
      <c r="G1235" s="3">
        <v>1</v>
      </c>
      <c r="H1235">
        <v>0</v>
      </c>
      <c r="I1235" t="s">
        <v>182</v>
      </c>
      <c r="J1235">
        <v>0</v>
      </c>
      <c r="K1235">
        <v>0</v>
      </c>
      <c r="L1235">
        <v>0</v>
      </c>
      <c r="M1235">
        <v>0</v>
      </c>
    </row>
    <row r="1236" spans="1:13" x14ac:dyDescent="0.25">
      <c r="A1236">
        <v>1235</v>
      </c>
      <c r="B1236">
        <v>77</v>
      </c>
      <c r="C1236">
        <v>4</v>
      </c>
      <c r="D1236" s="2">
        <v>42636.966377314813</v>
      </c>
      <c r="E1236" t="s">
        <v>179</v>
      </c>
      <c r="F1236">
        <v>270</v>
      </c>
      <c r="G1236" s="3">
        <v>2</v>
      </c>
      <c r="H1236">
        <v>305</v>
      </c>
      <c r="I1236" t="s">
        <v>181</v>
      </c>
      <c r="J1236">
        <v>19</v>
      </c>
      <c r="K1236">
        <v>19</v>
      </c>
      <c r="L1236">
        <v>2</v>
      </c>
      <c r="M1236">
        <v>2</v>
      </c>
    </row>
    <row r="1237" spans="1:13" x14ac:dyDescent="0.25">
      <c r="A1237">
        <v>1236</v>
      </c>
      <c r="B1237">
        <v>77</v>
      </c>
      <c r="C1237">
        <v>1</v>
      </c>
      <c r="D1237" s="2">
        <v>42632.283645833333</v>
      </c>
      <c r="E1237" t="s">
        <v>179</v>
      </c>
      <c r="F1237">
        <v>240</v>
      </c>
      <c r="G1237" s="3">
        <v>3</v>
      </c>
      <c r="H1237">
        <v>273</v>
      </c>
      <c r="I1237" t="s">
        <v>181</v>
      </c>
      <c r="J1237">
        <v>20</v>
      </c>
      <c r="K1237">
        <v>20</v>
      </c>
      <c r="L1237">
        <v>1</v>
      </c>
      <c r="M1237">
        <v>1</v>
      </c>
    </row>
    <row r="1238" spans="1:13" x14ac:dyDescent="0.25">
      <c r="A1238">
        <v>1237</v>
      </c>
      <c r="B1238">
        <v>77</v>
      </c>
      <c r="C1238">
        <v>18</v>
      </c>
      <c r="D1238" s="2">
        <v>42631.34275462963</v>
      </c>
      <c r="E1238" t="s">
        <v>179</v>
      </c>
      <c r="F1238">
        <v>150</v>
      </c>
      <c r="G1238" s="3">
        <v>4</v>
      </c>
      <c r="H1238">
        <v>305</v>
      </c>
      <c r="I1238" t="s">
        <v>181</v>
      </c>
      <c r="J1238">
        <v>19</v>
      </c>
      <c r="K1238">
        <v>18</v>
      </c>
      <c r="L1238">
        <v>2</v>
      </c>
      <c r="M1238">
        <v>3</v>
      </c>
    </row>
    <row r="1239" spans="1:13" x14ac:dyDescent="0.25">
      <c r="A1239">
        <v>1238</v>
      </c>
      <c r="B1239">
        <v>77</v>
      </c>
      <c r="C1239">
        <v>16</v>
      </c>
      <c r="D1239" s="2">
        <v>42636.660532407404</v>
      </c>
      <c r="E1239" t="s">
        <v>179</v>
      </c>
      <c r="F1239">
        <v>120</v>
      </c>
      <c r="G1239" s="3">
        <v>5</v>
      </c>
      <c r="H1239">
        <v>0</v>
      </c>
      <c r="I1239" t="s">
        <v>182</v>
      </c>
      <c r="J1239">
        <v>0</v>
      </c>
      <c r="K1239">
        <v>0</v>
      </c>
      <c r="L1239">
        <v>0</v>
      </c>
      <c r="M1239">
        <v>0</v>
      </c>
    </row>
    <row r="1240" spans="1:13" x14ac:dyDescent="0.25">
      <c r="A1240">
        <v>1239</v>
      </c>
      <c r="B1240">
        <v>78</v>
      </c>
      <c r="C1240">
        <v>28</v>
      </c>
      <c r="D1240" s="2">
        <v>42704.880312499998</v>
      </c>
      <c r="E1240" t="s">
        <v>179</v>
      </c>
      <c r="F1240">
        <v>0</v>
      </c>
    </row>
    <row r="1241" spans="1:13" x14ac:dyDescent="0.25">
      <c r="A1241">
        <v>1240</v>
      </c>
      <c r="B1241">
        <v>78</v>
      </c>
      <c r="C1241">
        <v>2</v>
      </c>
      <c r="D1241" s="2">
        <v>42697.102037037039</v>
      </c>
      <c r="E1241" t="s">
        <v>179</v>
      </c>
      <c r="F1241">
        <v>120</v>
      </c>
    </row>
    <row r="1242" spans="1:13" x14ac:dyDescent="0.25">
      <c r="A1242">
        <v>1241</v>
      </c>
      <c r="B1242">
        <v>78</v>
      </c>
      <c r="C1242">
        <v>8</v>
      </c>
      <c r="D1242" s="2">
        <v>42699.578865740739</v>
      </c>
      <c r="E1242" t="s">
        <v>179</v>
      </c>
      <c r="F1242">
        <v>0</v>
      </c>
    </row>
    <row r="1243" spans="1:13" x14ac:dyDescent="0.25">
      <c r="A1243">
        <v>1242</v>
      </c>
      <c r="B1243">
        <v>78</v>
      </c>
      <c r="C1243">
        <v>11</v>
      </c>
      <c r="D1243" s="2">
        <v>42703.876342592594</v>
      </c>
      <c r="E1243" t="s">
        <v>179</v>
      </c>
      <c r="F1243">
        <v>30</v>
      </c>
    </row>
    <row r="1244" spans="1:13" x14ac:dyDescent="0.25">
      <c r="A1244">
        <v>1243</v>
      </c>
      <c r="B1244">
        <v>78</v>
      </c>
      <c r="C1244">
        <v>3</v>
      </c>
      <c r="D1244" s="2">
        <v>42684.788854166669</v>
      </c>
      <c r="E1244" t="s">
        <v>179</v>
      </c>
      <c r="F1244">
        <v>30</v>
      </c>
    </row>
    <row r="1245" spans="1:13" x14ac:dyDescent="0.25">
      <c r="A1245">
        <v>1244</v>
      </c>
      <c r="B1245">
        <v>78</v>
      </c>
      <c r="C1245">
        <v>18</v>
      </c>
      <c r="D1245" s="2">
        <v>42693.460474537038</v>
      </c>
      <c r="E1245" t="s">
        <v>179</v>
      </c>
      <c r="F1245">
        <v>240</v>
      </c>
    </row>
  </sheetData>
  <sortState ref="A2:M391">
    <sortCondition ref="B2:B391"/>
    <sortCondition ref="J2:J391"/>
  </sortState>
  <dataConsolid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2"/>
  <sheetViews>
    <sheetView zoomScale="80" zoomScaleNormal="80" workbookViewId="0">
      <selection activeCell="B1" sqref="B1"/>
    </sheetView>
  </sheetViews>
  <sheetFormatPr defaultRowHeight="15" x14ac:dyDescent="0.25"/>
  <cols>
    <col min="2" max="2" width="40.140625" customWidth="1"/>
    <col min="3" max="3" width="9.140625" style="4"/>
    <col min="4" max="4" width="17.140625" customWidth="1"/>
  </cols>
  <sheetData>
    <row r="1" spans="1:4" x14ac:dyDescent="0.25">
      <c r="A1" t="s">
        <v>0</v>
      </c>
      <c r="B1" t="s">
        <v>96</v>
      </c>
      <c r="C1" s="4" t="s">
        <v>108</v>
      </c>
      <c r="D1" t="s">
        <v>109</v>
      </c>
    </row>
    <row r="2" spans="1:4" x14ac:dyDescent="0.25">
      <c r="A2">
        <v>1</v>
      </c>
      <c r="B2" t="s">
        <v>97</v>
      </c>
      <c r="C2" s="4">
        <v>1.7847222222222223E-2</v>
      </c>
      <c r="D2">
        <f>25*60+42</f>
        <v>1542</v>
      </c>
    </row>
    <row r="3" spans="1:4" x14ac:dyDescent="0.25">
      <c r="A3">
        <v>2</v>
      </c>
      <c r="B3" t="s">
        <v>98</v>
      </c>
      <c r="C3" s="4">
        <v>1.9745370370370371E-2</v>
      </c>
      <c r="D3">
        <f>28*60+26</f>
        <v>1706</v>
      </c>
    </row>
    <row r="4" spans="1:4" x14ac:dyDescent="0.25">
      <c r="A4">
        <v>3</v>
      </c>
      <c r="B4" t="s">
        <v>99</v>
      </c>
      <c r="C4" s="4">
        <v>1.650462962962963E-2</v>
      </c>
      <c r="D4">
        <f>23*60+46</f>
        <v>1426</v>
      </c>
    </row>
    <row r="5" spans="1:4" x14ac:dyDescent="0.25">
      <c r="A5">
        <v>4</v>
      </c>
      <c r="B5" t="s">
        <v>100</v>
      </c>
      <c r="C5" s="4">
        <v>2.1666666666666667E-2</v>
      </c>
      <c r="D5">
        <f>31*60+12</f>
        <v>1872</v>
      </c>
    </row>
    <row r="6" spans="1:4" x14ac:dyDescent="0.25">
      <c r="A6">
        <v>5</v>
      </c>
      <c r="B6" t="s">
        <v>101</v>
      </c>
      <c r="C6" s="4">
        <v>3.7766203703703705E-2</v>
      </c>
      <c r="D6">
        <f>54*60+23</f>
        <v>3263</v>
      </c>
    </row>
    <row r="7" spans="1:4" x14ac:dyDescent="0.25">
      <c r="A7">
        <v>6</v>
      </c>
      <c r="B7" t="s">
        <v>102</v>
      </c>
      <c r="C7" s="4">
        <v>1.5150462962962963E-2</v>
      </c>
      <c r="D7">
        <f>21*60+49</f>
        <v>1309</v>
      </c>
    </row>
    <row r="8" spans="1:4" x14ac:dyDescent="0.25">
      <c r="A8">
        <v>7</v>
      </c>
      <c r="B8" t="s">
        <v>103</v>
      </c>
      <c r="C8" s="4">
        <v>1.4108796296296295E-2</v>
      </c>
      <c r="D8">
        <f>20*60+19</f>
        <v>1219</v>
      </c>
    </row>
    <row r="9" spans="1:4" x14ac:dyDescent="0.25">
      <c r="A9">
        <v>8</v>
      </c>
      <c r="B9" t="s">
        <v>104</v>
      </c>
      <c r="C9" s="4">
        <v>1.4837962962962963E-2</v>
      </c>
      <c r="D9">
        <f>21*60+22</f>
        <v>1282</v>
      </c>
    </row>
    <row r="10" spans="1:4" x14ac:dyDescent="0.25">
      <c r="A10">
        <v>9</v>
      </c>
      <c r="B10" t="s">
        <v>105</v>
      </c>
      <c r="C10" s="4">
        <v>1.7361111111111112E-2</v>
      </c>
      <c r="D10">
        <f>25*60</f>
        <v>1500</v>
      </c>
    </row>
    <row r="11" spans="1:4" x14ac:dyDescent="0.25">
      <c r="A11">
        <v>10</v>
      </c>
      <c r="B11" t="s">
        <v>106</v>
      </c>
      <c r="C11" s="4">
        <v>1.8749999999999999E-2</v>
      </c>
      <c r="D11">
        <f>27*60</f>
        <v>1620</v>
      </c>
    </row>
    <row r="12" spans="1:4" x14ac:dyDescent="0.25">
      <c r="A12">
        <v>11</v>
      </c>
      <c r="B12" t="s">
        <v>107</v>
      </c>
      <c r="C12" s="4">
        <v>3.1249999999999997E-3</v>
      </c>
      <c r="D12">
        <f>4*60+30</f>
        <v>270</v>
      </c>
    </row>
    <row r="22" spans="4:4" x14ac:dyDescent="0.25">
      <c r="D22"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1"/>
  <sheetViews>
    <sheetView workbookViewId="0"/>
  </sheetViews>
  <sheetFormatPr defaultRowHeight="15" x14ac:dyDescent="0.25"/>
  <sheetData>
    <row r="1" spans="1:1" x14ac:dyDescent="0.25">
      <c r="A1" t="s">
        <v>129</v>
      </c>
    </row>
    <row r="2" spans="1:1" x14ac:dyDescent="0.25">
      <c r="A2">
        <v>0</v>
      </c>
    </row>
    <row r="3" spans="1:1" x14ac:dyDescent="0.25">
      <c r="A3">
        <v>30</v>
      </c>
    </row>
    <row r="4" spans="1:1" x14ac:dyDescent="0.25">
      <c r="A4">
        <v>60</v>
      </c>
    </row>
    <row r="5" spans="1:1" x14ac:dyDescent="0.25">
      <c r="A5">
        <v>90</v>
      </c>
    </row>
    <row r="6" spans="1:1" x14ac:dyDescent="0.25">
      <c r="A6">
        <v>120</v>
      </c>
    </row>
    <row r="7" spans="1:1" x14ac:dyDescent="0.25">
      <c r="A7">
        <v>150</v>
      </c>
    </row>
    <row r="8" spans="1:1" x14ac:dyDescent="0.25">
      <c r="A8">
        <v>180</v>
      </c>
    </row>
    <row r="9" spans="1:1" x14ac:dyDescent="0.25">
      <c r="A9">
        <v>240</v>
      </c>
    </row>
    <row r="10" spans="1:1" x14ac:dyDescent="0.25">
      <c r="A10">
        <v>270</v>
      </c>
    </row>
    <row r="11" spans="1:1" x14ac:dyDescent="0.25">
      <c r="A11">
        <v>300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
  <sheetViews>
    <sheetView workbookViewId="0">
      <selection activeCell="B1" sqref="B1"/>
    </sheetView>
  </sheetViews>
  <sheetFormatPr defaultRowHeight="15" x14ac:dyDescent="0.25"/>
  <cols>
    <col min="1" max="1" width="38.140625" customWidth="1"/>
    <col min="2" max="2" width="50.140625" customWidth="1"/>
  </cols>
  <sheetData>
    <row r="1" spans="1:2" x14ac:dyDescent="0.25">
      <c r="A1" t="s">
        <v>178</v>
      </c>
      <c r="B1" t="s">
        <v>193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event</vt:lpstr>
      <vt:lpstr>series</vt:lpstr>
      <vt:lpstr>course</vt:lpstr>
      <vt:lpstr>user</vt:lpstr>
      <vt:lpstr>official</vt:lpstr>
      <vt:lpstr>entry</vt:lpstr>
      <vt:lpstr>xcourse_times</vt:lpstr>
      <vt:lpstr>xhandicaps</vt:lpstr>
      <vt:lpstr>xstatic</vt:lpstr>
      <vt:lpstr>courses</vt:lpstr>
      <vt:lpstr>events</vt:lpstr>
      <vt:lpstr>export_folder</vt:lpstr>
      <vt:lpstr>handicaps</vt:lpstr>
      <vt:lpstr>users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Greer</dc:creator>
  <cp:lastModifiedBy>Paul Greer</cp:lastModifiedBy>
  <dcterms:created xsi:type="dcterms:W3CDTF">2006-09-16T00:00:00Z</dcterms:created>
  <dcterms:modified xsi:type="dcterms:W3CDTF">2016-09-28T17:23:01Z</dcterms:modified>
</cp:coreProperties>
</file>