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2135" windowHeight="4260" activeTab="3"/>
  </bookViews>
  <sheets>
    <sheet name="events" sheetId="1" r:id="rId1"/>
    <sheet name="courses" sheetId="5" r:id="rId2"/>
    <sheet name="handicaps" sheetId="4" r:id="rId3"/>
    <sheet name="users" sheetId="3" r:id="rId4"/>
    <sheet name="officials" sheetId="6" r:id="rId5"/>
    <sheet name="entries" sheetId="2" r:id="rId6"/>
  </sheets>
  <functionGroups builtInGroupCount="18"/>
  <definedNames>
    <definedName name="courses">courses!$A$2:$D$12</definedName>
    <definedName name="events">events!$A$1:$C$26</definedName>
    <definedName name="handicaps">handicaps!$A$1:$A$10</definedName>
    <definedName name="users">users!$A$2:$A$38</definedName>
  </definedNames>
  <calcPr calcId="152511"/>
</workbook>
</file>

<file path=xl/calcChain.xml><?xml version="1.0" encoding="utf-8"?>
<calcChain xmlns="http://schemas.openxmlformats.org/spreadsheetml/2006/main">
  <c r="D12" i="5" l="1"/>
  <c r="D11" i="5"/>
  <c r="D10" i="5"/>
  <c r="D9" i="5"/>
  <c r="D8" i="5"/>
  <c r="D7" i="5"/>
  <c r="D6" i="5"/>
  <c r="D5" i="5"/>
  <c r="D4" i="5"/>
  <c r="D3" i="5"/>
  <c r="D2" i="5"/>
</calcChain>
</file>

<file path=xl/sharedStrings.xml><?xml version="1.0" encoding="utf-8"?>
<sst xmlns="http://schemas.openxmlformats.org/spreadsheetml/2006/main" count="1042" uniqueCount="140">
  <si>
    <t>id</t>
  </si>
  <si>
    <t>username</t>
  </si>
  <si>
    <t>firstname</t>
  </si>
  <si>
    <t>lastname</t>
  </si>
  <si>
    <t>Paul Greer</t>
  </si>
  <si>
    <t>Paul</t>
  </si>
  <si>
    <t>Greer</t>
  </si>
  <si>
    <t>David Pettitt</t>
  </si>
  <si>
    <t xml:space="preserve">David </t>
  </si>
  <si>
    <t>Pettitt</t>
  </si>
  <si>
    <t>Matt Kuwertz</t>
  </si>
  <si>
    <t>Matt</t>
  </si>
  <si>
    <t>Kuwertz</t>
  </si>
  <si>
    <t>Ryan Kuwertz</t>
  </si>
  <si>
    <t xml:space="preserve">Ryan </t>
  </si>
  <si>
    <t>Ian Hodge</t>
  </si>
  <si>
    <t xml:space="preserve">Ian </t>
  </si>
  <si>
    <t>Hodge</t>
  </si>
  <si>
    <t>Neil Couchman</t>
  </si>
  <si>
    <t>Neil</t>
  </si>
  <si>
    <t>Couchman</t>
  </si>
  <si>
    <t>Keith Henderson</t>
  </si>
  <si>
    <t>Keith</t>
  </si>
  <si>
    <t>Henderson</t>
  </si>
  <si>
    <t>Gary Sinclair</t>
  </si>
  <si>
    <t>Gary</t>
  </si>
  <si>
    <t>Sinclair</t>
  </si>
  <si>
    <t>Scott Sargeant</t>
  </si>
  <si>
    <t xml:space="preserve">Scott </t>
  </si>
  <si>
    <t>Sargeant</t>
  </si>
  <si>
    <t>Rory Barrett</t>
  </si>
  <si>
    <t xml:space="preserve">Rory </t>
  </si>
  <si>
    <t>Barret</t>
  </si>
  <si>
    <t>Mike Saadat</t>
  </si>
  <si>
    <t xml:space="preserve">Mike </t>
  </si>
  <si>
    <t>Sadaat</t>
  </si>
  <si>
    <t>Ian Turner</t>
  </si>
  <si>
    <t>Turner</t>
  </si>
  <si>
    <t>Pip Jenkins</t>
  </si>
  <si>
    <t>Pip</t>
  </si>
  <si>
    <t>Jenkins</t>
  </si>
  <si>
    <t>Web</t>
  </si>
  <si>
    <t>Paul Hiscock</t>
  </si>
  <si>
    <t>Hiscock</t>
  </si>
  <si>
    <t>Tim Christian</t>
  </si>
  <si>
    <t>Tim</t>
  </si>
  <si>
    <t>Christian</t>
  </si>
  <si>
    <t>Charles Dennison</t>
  </si>
  <si>
    <t>Charles</t>
  </si>
  <si>
    <t>Dennison</t>
  </si>
  <si>
    <t>Nigel Smith</t>
  </si>
  <si>
    <t xml:space="preserve">Nigel </t>
  </si>
  <si>
    <t>Smith</t>
  </si>
  <si>
    <t>Martin Yardley</t>
  </si>
  <si>
    <t xml:space="preserve">Martin </t>
  </si>
  <si>
    <t>Yardley</t>
  </si>
  <si>
    <t>Rob Stephenson</t>
  </si>
  <si>
    <t>Rob</t>
  </si>
  <si>
    <t>Stephenson</t>
  </si>
  <si>
    <t>Chris Wolton</t>
  </si>
  <si>
    <t xml:space="preserve">Chris </t>
  </si>
  <si>
    <t>Wolton</t>
  </si>
  <si>
    <t>Andy Morley</t>
  </si>
  <si>
    <t xml:space="preserve">Andy </t>
  </si>
  <si>
    <t>Morley</t>
  </si>
  <si>
    <t>Andrew Booty</t>
  </si>
  <si>
    <t>Callum Clark</t>
  </si>
  <si>
    <t>Julia Hawksworth</t>
  </si>
  <si>
    <t>Colin Jarman</t>
  </si>
  <si>
    <t>Dan Simms</t>
  </si>
  <si>
    <t>Alexis Couchman</t>
  </si>
  <si>
    <t>David Rumm</t>
  </si>
  <si>
    <t>Dave Stocker</t>
  </si>
  <si>
    <t>Jeremy Woodruff</t>
  </si>
  <si>
    <t>Martin Dernham</t>
  </si>
  <si>
    <t>Peter Faro</t>
  </si>
  <si>
    <t>Andrew</t>
  </si>
  <si>
    <t>Callum</t>
  </si>
  <si>
    <t>Julia</t>
  </si>
  <si>
    <t>Colin</t>
  </si>
  <si>
    <t>Dan</t>
  </si>
  <si>
    <t>Alexis</t>
  </si>
  <si>
    <t>Dave</t>
  </si>
  <si>
    <t>Jeremy</t>
  </si>
  <si>
    <t>Peter</t>
  </si>
  <si>
    <t>Booty</t>
  </si>
  <si>
    <t>Clark</t>
  </si>
  <si>
    <t>Hawksworth</t>
  </si>
  <si>
    <t>Jarman</t>
  </si>
  <si>
    <t>Simms</t>
  </si>
  <si>
    <t>Rumm</t>
  </si>
  <si>
    <t>Stocker</t>
  </si>
  <si>
    <t>Woodruff</t>
  </si>
  <si>
    <t>Dernham</t>
  </si>
  <si>
    <t>Faro</t>
  </si>
  <si>
    <t>eventid</t>
  </si>
  <si>
    <t>userid</t>
  </si>
  <si>
    <t>signondate</t>
  </si>
  <si>
    <t>signonmethod</t>
  </si>
  <si>
    <t>handicap</t>
  </si>
  <si>
    <t>startno</t>
  </si>
  <si>
    <t>time</t>
  </si>
  <si>
    <t>status</t>
  </si>
  <si>
    <t>name</t>
  </si>
  <si>
    <t>Sleeches Cross/Mayfield</t>
  </si>
  <si>
    <t>Ladies Mile</t>
  </si>
  <si>
    <t>Sleeches Cross/Mark Cross/Wadhurst</t>
  </si>
  <si>
    <t>Ashdown Forest</t>
  </si>
  <si>
    <t>Hartfield/Wych Cross/Groombridge</t>
  </si>
  <si>
    <t>Polhill</t>
  </si>
  <si>
    <t>Tonbridge Bypass</t>
  </si>
  <si>
    <t>East Peckham</t>
  </si>
  <si>
    <t>Winchet Hill</t>
  </si>
  <si>
    <t>Leigh Loop TT (Boxing Day TT course)</t>
  </si>
  <si>
    <t>Kidds Hill</t>
  </si>
  <si>
    <t>best</t>
  </si>
  <si>
    <t>best_secs</t>
  </si>
  <si>
    <t>DNS</t>
  </si>
  <si>
    <t>hcappts</t>
  </si>
  <si>
    <t>scrpts</t>
  </si>
  <si>
    <t>DNF</t>
  </si>
  <si>
    <t>FIN</t>
  </si>
  <si>
    <t>scrpos</t>
  </si>
  <si>
    <t>hcappos</t>
  </si>
  <si>
    <t>capacity</t>
  </si>
  <si>
    <t>CM</t>
  </si>
  <si>
    <t>M</t>
  </si>
  <si>
    <t>TM</t>
  </si>
  <si>
    <t>T</t>
  </si>
  <si>
    <t>Peter Watson</t>
  </si>
  <si>
    <t xml:space="preserve">Peter </t>
  </si>
  <si>
    <t>Watson</t>
  </si>
  <si>
    <t>Jo Watson</t>
  </si>
  <si>
    <t>Jo</t>
  </si>
  <si>
    <t>Doug Finch</t>
  </si>
  <si>
    <t>Doug</t>
  </si>
  <si>
    <t>Finch</t>
  </si>
  <si>
    <t>David Watson</t>
  </si>
  <si>
    <t>Laura Finch</t>
  </si>
  <si>
    <t>Laura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</si>
</sst>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\ hh:mm:ss"/>
    <numFmt numFmtId="165" formatCode="[$-F400]h:mm:ss\ AM/PM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22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30"/>
  <sheetViews>
    <sheetView topLeftCell="A17" workbookViewId="0">
      <selection activeCell="C35" sqref="C35"/>
    </sheetView>
  </sheetViews>
  <sheetFormatPr defaultRowHeight="15" x14ac:dyDescent="0.25"/>
  <cols>
    <col min="2" max="2" width="22.140625" customWidth="1"/>
    <col min="3" max="3" width="31" customWidth="1"/>
  </cols>
  <sheetData>
    <row r="1" spans="1:3" x14ac:dyDescent="0.25">
      <c r="A1">
        <v>1</v>
      </c>
      <c r="B1" s="1">
        <v>42078.375</v>
      </c>
      <c r="C1">
        <v>1</v>
      </c>
    </row>
    <row r="2" spans="1:3" x14ac:dyDescent="0.25">
      <c r="A2">
        <v>2</v>
      </c>
      <c r="B2" s="1">
        <v>42085.354166666664</v>
      </c>
      <c r="C2">
        <v>2</v>
      </c>
    </row>
    <row r="3" spans="1:3" x14ac:dyDescent="0.25">
      <c r="A3">
        <v>3</v>
      </c>
      <c r="B3" s="1">
        <v>42110.770833333336</v>
      </c>
      <c r="C3">
        <v>3</v>
      </c>
    </row>
    <row r="4" spans="1:3" x14ac:dyDescent="0.25">
      <c r="A4">
        <v>4</v>
      </c>
      <c r="B4" s="1">
        <v>42117.78125</v>
      </c>
      <c r="C4">
        <v>2</v>
      </c>
    </row>
    <row r="5" spans="1:3" x14ac:dyDescent="0.25">
      <c r="A5">
        <v>5</v>
      </c>
      <c r="B5" s="1">
        <v>42124.791666666664</v>
      </c>
      <c r="C5">
        <v>1</v>
      </c>
    </row>
    <row r="6" spans="1:3" x14ac:dyDescent="0.25">
      <c r="A6">
        <v>6</v>
      </c>
      <c r="B6" s="1">
        <v>42131.791666666664</v>
      </c>
      <c r="C6">
        <v>4</v>
      </c>
    </row>
    <row r="7" spans="1:3" x14ac:dyDescent="0.25">
      <c r="A7">
        <v>7</v>
      </c>
      <c r="B7" s="1">
        <v>42138.791666666664</v>
      </c>
      <c r="C7">
        <v>1</v>
      </c>
    </row>
    <row r="8" spans="1:3" x14ac:dyDescent="0.25">
      <c r="A8">
        <v>8</v>
      </c>
      <c r="B8" s="1">
        <v>42145.791666666664</v>
      </c>
      <c r="C8">
        <v>2</v>
      </c>
    </row>
    <row r="9" spans="1:3" x14ac:dyDescent="0.25">
      <c r="A9">
        <v>9</v>
      </c>
      <c r="B9" s="1">
        <v>42152.791666666664</v>
      </c>
      <c r="C9">
        <v>5</v>
      </c>
    </row>
    <row r="10" spans="1:3" x14ac:dyDescent="0.25">
      <c r="A10">
        <v>10</v>
      </c>
      <c r="B10" s="1">
        <v>42157.8125</v>
      </c>
      <c r="C10">
        <v>8</v>
      </c>
    </row>
    <row r="11" spans="1:3" x14ac:dyDescent="0.25">
      <c r="A11">
        <v>11</v>
      </c>
      <c r="B11" s="1">
        <v>42164.8125</v>
      </c>
      <c r="C11">
        <v>6</v>
      </c>
    </row>
    <row r="12" spans="1:3" x14ac:dyDescent="0.25">
      <c r="A12">
        <v>12</v>
      </c>
      <c r="B12" s="1">
        <v>42171.8125</v>
      </c>
      <c r="C12">
        <v>8</v>
      </c>
    </row>
    <row r="13" spans="1:3" x14ac:dyDescent="0.25">
      <c r="A13">
        <v>13</v>
      </c>
      <c r="B13" s="1">
        <v>42178.791666666664</v>
      </c>
      <c r="C13">
        <v>9</v>
      </c>
    </row>
    <row r="14" spans="1:3" x14ac:dyDescent="0.25">
      <c r="A14">
        <v>14</v>
      </c>
      <c r="B14" s="1">
        <v>42185.791666666664</v>
      </c>
      <c r="C14">
        <v>8</v>
      </c>
    </row>
    <row r="15" spans="1:3" x14ac:dyDescent="0.25">
      <c r="A15">
        <v>15</v>
      </c>
      <c r="B15" s="1">
        <v>42192.8125</v>
      </c>
      <c r="C15">
        <v>6</v>
      </c>
    </row>
    <row r="16" spans="1:3" x14ac:dyDescent="0.25">
      <c r="A16">
        <v>16</v>
      </c>
      <c r="B16" s="1">
        <v>42196.291666666664</v>
      </c>
      <c r="C16">
        <v>8</v>
      </c>
    </row>
    <row r="17" spans="1:3" x14ac:dyDescent="0.25">
      <c r="A17">
        <v>17</v>
      </c>
      <c r="B17" s="1">
        <v>42201.791666666664</v>
      </c>
      <c r="C17">
        <v>1</v>
      </c>
    </row>
    <row r="18" spans="1:3" x14ac:dyDescent="0.25">
      <c r="A18">
        <v>18</v>
      </c>
      <c r="B18" s="1">
        <v>42208.791666666664</v>
      </c>
      <c r="C18">
        <v>2</v>
      </c>
    </row>
    <row r="19" spans="1:3" x14ac:dyDescent="0.25">
      <c r="A19">
        <v>19</v>
      </c>
      <c r="B19" s="1">
        <v>42215.791666666664</v>
      </c>
      <c r="C19">
        <v>4</v>
      </c>
    </row>
    <row r="20" spans="1:3" x14ac:dyDescent="0.25">
      <c r="A20">
        <v>20</v>
      </c>
      <c r="B20" s="1">
        <v>42222.791666666664</v>
      </c>
      <c r="C20">
        <v>3</v>
      </c>
    </row>
    <row r="21" spans="1:3" x14ac:dyDescent="0.25">
      <c r="A21">
        <v>21</v>
      </c>
      <c r="B21" s="1">
        <v>42229.791666666664</v>
      </c>
      <c r="C21">
        <v>2</v>
      </c>
    </row>
    <row r="22" spans="1:3" x14ac:dyDescent="0.25">
      <c r="A22">
        <v>22</v>
      </c>
      <c r="B22" s="1">
        <v>42252.291666666664</v>
      </c>
      <c r="C22">
        <v>8</v>
      </c>
    </row>
    <row r="23" spans="1:3" x14ac:dyDescent="0.25">
      <c r="A23">
        <v>23</v>
      </c>
      <c r="B23" s="1">
        <v>42259.291666666664</v>
      </c>
      <c r="C23">
        <v>7</v>
      </c>
    </row>
    <row r="24" spans="1:3" x14ac:dyDescent="0.25">
      <c r="A24">
        <v>24</v>
      </c>
      <c r="B24" s="1">
        <v>42266.291666666664</v>
      </c>
      <c r="C24">
        <v>7</v>
      </c>
    </row>
    <row r="25" spans="1:3" x14ac:dyDescent="0.25">
      <c r="A25">
        <v>25</v>
      </c>
      <c r="B25" s="1">
        <v>42274.416666666664</v>
      </c>
      <c r="C25">
        <v>10</v>
      </c>
    </row>
    <row r="26" spans="1:3" x14ac:dyDescent="0.25">
      <c r="A26">
        <v>26</v>
      </c>
      <c r="B26" s="1">
        <v>42364.416666666664</v>
      </c>
      <c r="C26">
        <v>11</v>
      </c>
    </row>
    <row r="27" spans="1:3" x14ac:dyDescent="0.25">
      <c r="A27">
        <v>27</v>
      </c>
      <c r="B27" s="1">
        <v>42365.416666666664</v>
      </c>
      <c r="C27">
        <v>2</v>
      </c>
    </row>
    <row r="28" spans="1:3" x14ac:dyDescent="0.25">
      <c r="A28">
        <v>28</v>
      </c>
      <c r="B28" s="1">
        <v>42366.416666666664</v>
      </c>
      <c r="C28">
        <v>3</v>
      </c>
    </row>
    <row r="29" spans="1:3" x14ac:dyDescent="0.25">
      <c r="A29">
        <v>29</v>
      </c>
      <c r="B29" s="1">
        <v>42367.416666666664</v>
      </c>
      <c r="C29">
        <v>2</v>
      </c>
    </row>
    <row r="30" spans="1:3" x14ac:dyDescent="0.25">
      <c r="A30">
        <v>30</v>
      </c>
      <c r="B30" s="1">
        <v>42368.416666666664</v>
      </c>
      <c r="C30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2"/>
  <sheetViews>
    <sheetView workbookViewId="0">
      <selection activeCell="D15" sqref="D15"/>
    </sheetView>
  </sheetViews>
  <sheetFormatPr defaultRowHeight="15" x14ac:dyDescent="0.25"/>
  <cols>
    <col min="2" max="2" width="40.140625" customWidth="1"/>
    <col min="3" max="3" width="9.140625" style="4"/>
    <col min="4" max="4" width="17.140625" customWidth="1"/>
  </cols>
  <sheetData>
    <row r="1" spans="1:4" x14ac:dyDescent="0.25">
      <c r="A1" t="s">
        <v>0</v>
      </c>
      <c r="B1" t="s">
        <v>103</v>
      </c>
      <c r="C1" s="4" t="s">
        <v>115</v>
      </c>
      <c r="D1" t="s">
        <v>116</v>
      </c>
    </row>
    <row r="2" spans="1:4" x14ac:dyDescent="0.25">
      <c r="A2">
        <v>1</v>
      </c>
      <c r="B2" t="s">
        <v>104</v>
      </c>
      <c r="C2" s="4">
        <v>1.7847222222222223E-2</v>
      </c>
      <c r="D2">
        <f>25*60+42</f>
        <v>1542</v>
      </c>
    </row>
    <row r="3" spans="1:4" x14ac:dyDescent="0.25">
      <c r="A3">
        <v>2</v>
      </c>
      <c r="B3" t="s">
        <v>105</v>
      </c>
      <c r="C3" s="4">
        <v>1.9745370370370371E-2</v>
      </c>
      <c r="D3">
        <f>28*60+26</f>
        <v>1706</v>
      </c>
    </row>
    <row r="4" spans="1:4" x14ac:dyDescent="0.25">
      <c r="A4">
        <v>3</v>
      </c>
      <c r="B4" t="s">
        <v>106</v>
      </c>
      <c r="C4" s="4">
        <v>1.650462962962963E-2</v>
      </c>
      <c r="D4">
        <f>23*60+46</f>
        <v>1426</v>
      </c>
    </row>
    <row r="5" spans="1:4" x14ac:dyDescent="0.25">
      <c r="A5">
        <v>4</v>
      </c>
      <c r="B5" t="s">
        <v>107</v>
      </c>
      <c r="C5" s="4">
        <v>2.1666666666666667E-2</v>
      </c>
      <c r="D5">
        <f>31*60+12</f>
        <v>1872</v>
      </c>
    </row>
    <row r="6" spans="1:4" x14ac:dyDescent="0.25">
      <c r="A6">
        <v>5</v>
      </c>
      <c r="B6" t="s">
        <v>108</v>
      </c>
      <c r="C6" s="4">
        <v>3.7766203703703705E-2</v>
      </c>
      <c r="D6">
        <f>54*60+23</f>
        <v>3263</v>
      </c>
    </row>
    <row r="7" spans="1:4" x14ac:dyDescent="0.25">
      <c r="A7">
        <v>6</v>
      </c>
      <c r="B7" t="s">
        <v>109</v>
      </c>
      <c r="C7" s="4">
        <v>1.5150462962962963E-2</v>
      </c>
      <c r="D7">
        <f>21*60+49</f>
        <v>1309</v>
      </c>
    </row>
    <row r="8" spans="1:4" x14ac:dyDescent="0.25">
      <c r="A8">
        <v>7</v>
      </c>
      <c r="B8" t="s">
        <v>110</v>
      </c>
      <c r="C8" s="4">
        <v>1.4108796296296295E-2</v>
      </c>
      <c r="D8">
        <f>20*60+19</f>
        <v>1219</v>
      </c>
    </row>
    <row r="9" spans="1:4" x14ac:dyDescent="0.25">
      <c r="A9">
        <v>8</v>
      </c>
      <c r="B9" t="s">
        <v>111</v>
      </c>
      <c r="C9" s="4">
        <v>1.4837962962962963E-2</v>
      </c>
      <c r="D9">
        <f>21*60+22</f>
        <v>1282</v>
      </c>
    </row>
    <row r="10" spans="1:4" x14ac:dyDescent="0.25">
      <c r="A10">
        <v>9</v>
      </c>
      <c r="B10" t="s">
        <v>112</v>
      </c>
      <c r="C10" s="4">
        <v>1.7361111111111112E-2</v>
      </c>
      <c r="D10">
        <f>25*60</f>
        <v>1500</v>
      </c>
    </row>
    <row r="11" spans="1:4" x14ac:dyDescent="0.25">
      <c r="A11">
        <v>10</v>
      </c>
      <c r="B11" t="s">
        <v>113</v>
      </c>
      <c r="C11" s="4">
        <v>1.8749999999999999E-2</v>
      </c>
      <c r="D11">
        <f>27*60</f>
        <v>1620</v>
      </c>
    </row>
    <row r="12" spans="1:4" x14ac:dyDescent="0.25">
      <c r="A12">
        <v>11</v>
      </c>
      <c r="B12" t="s">
        <v>114</v>
      </c>
      <c r="C12" s="4">
        <v>3.1249999999999997E-3</v>
      </c>
      <c r="D12">
        <f>4*60+30</f>
        <v>270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activeCell="D6" sqref="D6"/>
    </sheetView>
  </sheetViews>
  <sheetFormatPr defaultRowHeight="15" x14ac:dyDescent="0.25"/>
  <sheetData>
    <row r="1" spans="1:1" x14ac:dyDescent="0.25">
      <c r="A1">
        <v>0</v>
      </c>
    </row>
    <row r="2" spans="1:1" x14ac:dyDescent="0.25">
      <c r="A2">
        <v>30</v>
      </c>
    </row>
    <row r="3" spans="1:1" x14ac:dyDescent="0.25">
      <c r="A3">
        <v>60</v>
      </c>
    </row>
    <row r="4" spans="1:1" x14ac:dyDescent="0.25">
      <c r="A4">
        <v>90</v>
      </c>
    </row>
    <row r="5" spans="1:1" x14ac:dyDescent="0.25">
      <c r="A5">
        <v>120</v>
      </c>
    </row>
    <row r="6" spans="1:1" x14ac:dyDescent="0.25">
      <c r="A6">
        <v>150</v>
      </c>
    </row>
    <row r="7" spans="1:1" x14ac:dyDescent="0.25">
      <c r="A7">
        <v>180</v>
      </c>
    </row>
    <row r="8" spans="1:1" x14ac:dyDescent="0.25">
      <c r="A8">
        <v>240</v>
      </c>
    </row>
    <row r="9" spans="1:1" x14ac:dyDescent="0.25">
      <c r="A9">
        <v>270</v>
      </c>
    </row>
    <row r="10" spans="1:1" x14ac:dyDescent="0.25">
      <c r="A10">
        <v>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8"/>
  <sheetViews>
    <sheetView tabSelected="1" topLeftCell="A12" workbookViewId="0">
      <selection activeCell="E4" sqref="E4"/>
    </sheetView>
  </sheetViews>
  <sheetFormatPr defaultRowHeight="15" x14ac:dyDescent="0.25"/>
  <cols>
    <col min="2" max="2" width="23" customWidth="1"/>
    <col min="4" max="4" width="24.4257812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124</v>
      </c>
    </row>
    <row r="2" spans="1:5" x14ac:dyDescent="0.25">
      <c r="A2">
        <v>1</v>
      </c>
      <c r="B2" t="s">
        <v>4</v>
      </c>
      <c r="C2" t="s">
        <v>5</v>
      </c>
      <c r="D2" t="s">
        <v>6</v>
      </c>
      <c r="E2" t="s">
        <v>125</v>
      </c>
    </row>
    <row r="3" spans="1:5" x14ac:dyDescent="0.25">
      <c r="A3">
        <v>2</v>
      </c>
      <c r="B3" t="s">
        <v>7</v>
      </c>
      <c r="C3" t="s">
        <v>8</v>
      </c>
      <c r="D3" t="s">
        <v>9</v>
      </c>
      <c r="E3" t="s">
        <v>125</v>
      </c>
    </row>
    <row r="4" spans="1:5" x14ac:dyDescent="0.25">
      <c r="A4">
        <v>3</v>
      </c>
      <c r="B4" t="s">
        <v>10</v>
      </c>
      <c r="C4" t="s">
        <v>11</v>
      </c>
      <c r="D4" t="s">
        <v>12</v>
      </c>
      <c r="E4" t="s">
        <v>125</v>
      </c>
    </row>
    <row r="5" spans="1:5" x14ac:dyDescent="0.25">
      <c r="A5">
        <v>4</v>
      </c>
      <c r="B5" t="s">
        <v>13</v>
      </c>
      <c r="C5" t="s">
        <v>14</v>
      </c>
      <c r="D5" t="s">
        <v>12</v>
      </c>
      <c r="E5" t="s">
        <v>125</v>
      </c>
    </row>
    <row r="6" spans="1:5" x14ac:dyDescent="0.25">
      <c r="A6">
        <v>5</v>
      </c>
      <c r="B6" t="s">
        <v>15</v>
      </c>
      <c r="C6" t="s">
        <v>16</v>
      </c>
      <c r="D6" t="s">
        <v>17</v>
      </c>
      <c r="E6" t="s">
        <v>125</v>
      </c>
    </row>
    <row r="7" spans="1:5" x14ac:dyDescent="0.25">
      <c r="A7">
        <v>6</v>
      </c>
      <c r="B7" t="s">
        <v>18</v>
      </c>
      <c r="C7" t="s">
        <v>19</v>
      </c>
      <c r="D7" t="s">
        <v>20</v>
      </c>
      <c r="E7" t="s">
        <v>125</v>
      </c>
    </row>
    <row r="8" spans="1:5" x14ac:dyDescent="0.25">
      <c r="A8">
        <v>7</v>
      </c>
      <c r="B8" t="s">
        <v>21</v>
      </c>
      <c r="C8" t="s">
        <v>22</v>
      </c>
      <c r="D8" t="s">
        <v>23</v>
      </c>
      <c r="E8" t="s">
        <v>125</v>
      </c>
    </row>
    <row r="9" spans="1:5" x14ac:dyDescent="0.25">
      <c r="A9">
        <v>8</v>
      </c>
      <c r="B9" t="s">
        <v>24</v>
      </c>
      <c r="C9" t="s">
        <v>25</v>
      </c>
      <c r="D9" t="s">
        <v>26</v>
      </c>
      <c r="E9" t="s">
        <v>125</v>
      </c>
    </row>
    <row r="10" spans="1:5" x14ac:dyDescent="0.25">
      <c r="A10">
        <v>9</v>
      </c>
      <c r="B10" t="s">
        <v>27</v>
      </c>
      <c r="C10" t="s">
        <v>28</v>
      </c>
      <c r="D10" t="s">
        <v>29</v>
      </c>
      <c r="E10" t="s">
        <v>125</v>
      </c>
    </row>
    <row r="11" spans="1:5" x14ac:dyDescent="0.25">
      <c r="A11">
        <v>10</v>
      </c>
      <c r="B11" t="s">
        <v>30</v>
      </c>
      <c r="C11" t="s">
        <v>31</v>
      </c>
      <c r="D11" t="s">
        <v>32</v>
      </c>
      <c r="E11" t="s">
        <v>125</v>
      </c>
    </row>
    <row r="12" spans="1:5" x14ac:dyDescent="0.25">
      <c r="A12">
        <v>11</v>
      </c>
      <c r="B12" t="s">
        <v>33</v>
      </c>
      <c r="C12" t="s">
        <v>34</v>
      </c>
      <c r="D12" t="s">
        <v>35</v>
      </c>
      <c r="E12" t="s">
        <v>125</v>
      </c>
    </row>
    <row r="13" spans="1:5" x14ac:dyDescent="0.25">
      <c r="A13">
        <v>12</v>
      </c>
      <c r="B13" t="s">
        <v>36</v>
      </c>
      <c r="C13" t="s">
        <v>16</v>
      </c>
      <c r="D13" t="s">
        <v>37</v>
      </c>
      <c r="E13" t="s">
        <v>125</v>
      </c>
    </row>
    <row r="14" spans="1:5" x14ac:dyDescent="0.25">
      <c r="A14">
        <v>13</v>
      </c>
      <c r="B14" t="s">
        <v>38</v>
      </c>
      <c r="C14" t="s">
        <v>39</v>
      </c>
      <c r="D14" t="s">
        <v>40</v>
      </c>
      <c r="E14" t="s">
        <v>125</v>
      </c>
    </row>
    <row r="15" spans="1:5" x14ac:dyDescent="0.25">
      <c r="A15">
        <v>14</v>
      </c>
      <c r="B15" t="s">
        <v>42</v>
      </c>
      <c r="C15" t="s">
        <v>5</v>
      </c>
      <c r="D15" t="s">
        <v>43</v>
      </c>
      <c r="E15" t="s">
        <v>125</v>
      </c>
    </row>
    <row r="16" spans="1:5" x14ac:dyDescent="0.25">
      <c r="A16">
        <v>15</v>
      </c>
      <c r="B16" t="s">
        <v>44</v>
      </c>
      <c r="C16" t="s">
        <v>45</v>
      </c>
      <c r="D16" t="s">
        <v>46</v>
      </c>
      <c r="E16" t="s">
        <v>125</v>
      </c>
    </row>
    <row r="17" spans="1:5" x14ac:dyDescent="0.25">
      <c r="A17">
        <v>16</v>
      </c>
      <c r="B17" t="s">
        <v>47</v>
      </c>
      <c r="C17" t="s">
        <v>48</v>
      </c>
      <c r="D17" t="s">
        <v>49</v>
      </c>
      <c r="E17" t="s">
        <v>125</v>
      </c>
    </row>
    <row r="18" spans="1:5" x14ac:dyDescent="0.25">
      <c r="A18">
        <v>17</v>
      </c>
      <c r="B18" t="s">
        <v>50</v>
      </c>
      <c r="C18" t="s">
        <v>51</v>
      </c>
      <c r="D18" t="s">
        <v>52</v>
      </c>
      <c r="E18" t="s">
        <v>125</v>
      </c>
    </row>
    <row r="19" spans="1:5" x14ac:dyDescent="0.25">
      <c r="A19">
        <v>18</v>
      </c>
      <c r="B19" t="s">
        <v>53</v>
      </c>
      <c r="C19" t="s">
        <v>54</v>
      </c>
      <c r="D19" t="s">
        <v>55</v>
      </c>
      <c r="E19" t="s">
        <v>125</v>
      </c>
    </row>
    <row r="20" spans="1:5" x14ac:dyDescent="0.25">
      <c r="A20">
        <v>19</v>
      </c>
      <c r="B20" t="s">
        <v>56</v>
      </c>
      <c r="C20" t="s">
        <v>57</v>
      </c>
      <c r="D20" t="s">
        <v>58</v>
      </c>
      <c r="E20" t="s">
        <v>125</v>
      </c>
    </row>
    <row r="21" spans="1:5" x14ac:dyDescent="0.25">
      <c r="A21">
        <v>20</v>
      </c>
      <c r="B21" t="s">
        <v>59</v>
      </c>
      <c r="C21" t="s">
        <v>60</v>
      </c>
      <c r="D21" t="s">
        <v>61</v>
      </c>
      <c r="E21" t="s">
        <v>125</v>
      </c>
    </row>
    <row r="22" spans="1:5" x14ac:dyDescent="0.25">
      <c r="A22">
        <v>21</v>
      </c>
      <c r="B22" t="s">
        <v>62</v>
      </c>
      <c r="C22" t="s">
        <v>63</v>
      </c>
      <c r="D22" t="s">
        <v>64</v>
      </c>
      <c r="E22" t="s">
        <v>125</v>
      </c>
    </row>
    <row r="23" spans="1:5" x14ac:dyDescent="0.25">
      <c r="A23">
        <v>22</v>
      </c>
      <c r="B23" t="s">
        <v>65</v>
      </c>
      <c r="C23" t="s">
        <v>76</v>
      </c>
      <c r="D23" t="s">
        <v>85</v>
      </c>
      <c r="E23" t="s">
        <v>125</v>
      </c>
    </row>
    <row r="24" spans="1:5" x14ac:dyDescent="0.25">
      <c r="A24">
        <v>23</v>
      </c>
      <c r="B24" t="s">
        <v>66</v>
      </c>
      <c r="C24" t="s">
        <v>77</v>
      </c>
      <c r="D24" t="s">
        <v>86</v>
      </c>
      <c r="E24" t="s">
        <v>125</v>
      </c>
    </row>
    <row r="25" spans="1:5" x14ac:dyDescent="0.25">
      <c r="A25">
        <v>24</v>
      </c>
      <c r="B25" t="s">
        <v>67</v>
      </c>
      <c r="C25" t="s">
        <v>78</v>
      </c>
      <c r="D25" t="s">
        <v>87</v>
      </c>
      <c r="E25" t="s">
        <v>125</v>
      </c>
    </row>
    <row r="26" spans="1:5" x14ac:dyDescent="0.25">
      <c r="A26">
        <v>25</v>
      </c>
      <c r="B26" t="s">
        <v>68</v>
      </c>
      <c r="C26" t="s">
        <v>79</v>
      </c>
      <c r="D26" t="s">
        <v>88</v>
      </c>
      <c r="E26" t="s">
        <v>125</v>
      </c>
    </row>
    <row r="27" spans="1:5" x14ac:dyDescent="0.25">
      <c r="A27">
        <v>26</v>
      </c>
      <c r="B27" t="s">
        <v>69</v>
      </c>
      <c r="C27" t="s">
        <v>80</v>
      </c>
      <c r="D27" t="s">
        <v>89</v>
      </c>
      <c r="E27" t="s">
        <v>125</v>
      </c>
    </row>
    <row r="28" spans="1:5" x14ac:dyDescent="0.25">
      <c r="A28">
        <v>27</v>
      </c>
      <c r="B28" t="s">
        <v>70</v>
      </c>
      <c r="C28" t="s">
        <v>81</v>
      </c>
      <c r="D28" t="s">
        <v>20</v>
      </c>
      <c r="E28" t="s">
        <v>125</v>
      </c>
    </row>
    <row r="29" spans="1:5" x14ac:dyDescent="0.25">
      <c r="A29">
        <v>28</v>
      </c>
      <c r="B29" t="s">
        <v>71</v>
      </c>
      <c r="C29" t="s">
        <v>8</v>
      </c>
      <c r="D29" t="s">
        <v>90</v>
      </c>
      <c r="E29" t="s">
        <v>125</v>
      </c>
    </row>
    <row r="30" spans="1:5" x14ac:dyDescent="0.25">
      <c r="A30">
        <v>29</v>
      </c>
      <c r="B30" t="s">
        <v>72</v>
      </c>
      <c r="C30" t="s">
        <v>82</v>
      </c>
      <c r="D30" t="s">
        <v>91</v>
      </c>
      <c r="E30" t="s">
        <v>125</v>
      </c>
    </row>
    <row r="31" spans="1:5" x14ac:dyDescent="0.25">
      <c r="A31">
        <v>30</v>
      </c>
      <c r="B31" t="s">
        <v>73</v>
      </c>
      <c r="C31" t="s">
        <v>83</v>
      </c>
      <c r="D31" t="s">
        <v>92</v>
      </c>
      <c r="E31" t="s">
        <v>125</v>
      </c>
    </row>
    <row r="32" spans="1:5" x14ac:dyDescent="0.25">
      <c r="A32">
        <v>31</v>
      </c>
      <c r="B32" t="s">
        <v>74</v>
      </c>
      <c r="C32" t="s">
        <v>54</v>
      </c>
      <c r="D32" t="s">
        <v>93</v>
      </c>
      <c r="E32" t="s">
        <v>125</v>
      </c>
    </row>
    <row r="33" spans="1:5" x14ac:dyDescent="0.25">
      <c r="A33">
        <v>32</v>
      </c>
      <c r="B33" t="s">
        <v>75</v>
      </c>
      <c r="C33" t="s">
        <v>84</v>
      </c>
      <c r="D33" t="s">
        <v>94</v>
      </c>
      <c r="E33" t="s">
        <v>126</v>
      </c>
    </row>
    <row r="34" spans="1:5" x14ac:dyDescent="0.25">
      <c r="A34">
        <v>33</v>
      </c>
      <c r="B34" t="s">
        <v>129</v>
      </c>
      <c r="C34" t="s">
        <v>130</v>
      </c>
      <c r="D34" t="s">
        <v>131</v>
      </c>
      <c r="E34" t="s">
        <v>127</v>
      </c>
    </row>
    <row r="35" spans="1:5" x14ac:dyDescent="0.25">
      <c r="A35">
        <v>34</v>
      </c>
      <c r="B35" t="s">
        <v>132</v>
      </c>
      <c r="C35" t="s">
        <v>133</v>
      </c>
      <c r="D35" t="s">
        <v>131</v>
      </c>
      <c r="E35" t="s">
        <v>126</v>
      </c>
    </row>
    <row r="36" spans="1:5" x14ac:dyDescent="0.25">
      <c r="A36">
        <v>35</v>
      </c>
      <c r="B36" t="s">
        <v>134</v>
      </c>
      <c r="C36" t="s">
        <v>135</v>
      </c>
      <c r="D36" t="s">
        <v>136</v>
      </c>
      <c r="E36" t="s">
        <v>128</v>
      </c>
    </row>
    <row r="37" spans="1:5" x14ac:dyDescent="0.25">
      <c r="A37">
        <v>36</v>
      </c>
      <c r="B37" t="s">
        <v>137</v>
      </c>
      <c r="C37" t="s">
        <v>8</v>
      </c>
      <c r="D37" t="s">
        <v>131</v>
      </c>
      <c r="E37" t="s">
        <v>128</v>
      </c>
    </row>
    <row r="38" spans="1:5" x14ac:dyDescent="0.25">
      <c r="A38">
        <v>37</v>
      </c>
      <c r="B38" t="s">
        <v>138</v>
      </c>
      <c r="C38" t="s">
        <v>139</v>
      </c>
      <c r="D38" t="s">
        <v>136</v>
      </c>
      <c r="E38" t="s">
        <v>126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1"/>
  <sheetViews>
    <sheetView workbookViewId="0">
      <selection activeCell="A2" sqref="A2"/>
    </sheetView>
  </sheetViews>
  <sheetFormatPr defaultRowHeight="15" x14ac:dyDescent="0.25"/>
  <sheetData>
    <row r="1" spans="1:4" x14ac:dyDescent="0.25">
      <c r="A1" t="s">
        <v>0</v>
      </c>
      <c r="B1" t="s">
        <v>95</v>
      </c>
      <c r="C1" t="s">
        <v>96</v>
      </c>
      <c r="D1" t="s">
        <v>124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470"/>
  <sheetViews>
    <sheetView topLeftCell="B460" workbookViewId="0">
      <selection activeCell="E17" sqref="E17"/>
    </sheetView>
  </sheetViews>
  <sheetFormatPr defaultRowHeight="15" x14ac:dyDescent="0.25"/>
  <cols>
    <col min="1" max="1" width="14.5703125" customWidth="1"/>
    <col min="2" max="2" width="15.5703125" customWidth="1"/>
    <col min="3" max="3" width="19.7109375" customWidth="1"/>
    <col min="4" max="4" width="44" style="2" customWidth="1"/>
    <col min="5" max="5" width="18.28515625" customWidth="1"/>
    <col min="6" max="6" width="21.85546875" customWidth="1"/>
    <col min="7" max="7" width="25.7109375" style="3" customWidth="1"/>
  </cols>
  <sheetData>
    <row r="1" spans="1:13" x14ac:dyDescent="0.25">
      <c r="A1" t="s">
        <v>0</v>
      </c>
      <c r="B1" t="s">
        <v>95</v>
      </c>
      <c r="C1" t="s">
        <v>96</v>
      </c>
      <c r="D1" t="s">
        <v>97</v>
      </c>
      <c r="E1" t="s">
        <v>98</v>
      </c>
      <c r="F1" t="s">
        <v>99</v>
      </c>
      <c r="G1" s="3" t="s">
        <v>100</v>
      </c>
      <c r="H1" t="s">
        <v>101</v>
      </c>
      <c r="I1" t="s">
        <v>102</v>
      </c>
      <c r="J1" t="s">
        <v>119</v>
      </c>
      <c r="K1" t="s">
        <v>118</v>
      </c>
      <c r="L1" t="s">
        <v>122</v>
      </c>
      <c r="M1" t="s">
        <v>123</v>
      </c>
    </row>
    <row r="2" spans="1:13" x14ac:dyDescent="0.25">
      <c r="A2">
        <v>1</v>
      </c>
      <c r="B2">
        <v>1</v>
      </c>
      <c r="C2">
        <v>2</v>
      </c>
      <c r="D2" s="2">
        <v>42076.97388888889</v>
      </c>
      <c r="E2" t="s">
        <v>41</v>
      </c>
      <c r="F2">
        <v>150</v>
      </c>
      <c r="G2" s="3">
        <v>1</v>
      </c>
      <c r="H2">
        <v>0</v>
      </c>
      <c r="I2" t="s">
        <v>120</v>
      </c>
    </row>
    <row r="3" spans="1:13" x14ac:dyDescent="0.25">
      <c r="A3">
        <v>2</v>
      </c>
      <c r="B3">
        <v>1</v>
      </c>
      <c r="C3">
        <v>19</v>
      </c>
      <c r="D3" s="2">
        <v>42072.53769675926</v>
      </c>
      <c r="E3" t="s">
        <v>41</v>
      </c>
      <c r="F3">
        <v>180</v>
      </c>
      <c r="G3" s="3">
        <v>2</v>
      </c>
      <c r="H3">
        <v>1763</v>
      </c>
      <c r="I3" t="s">
        <v>121</v>
      </c>
      <c r="J3">
        <v>6</v>
      </c>
      <c r="K3">
        <v>11</v>
      </c>
      <c r="L3">
        <v>15</v>
      </c>
      <c r="M3">
        <v>10</v>
      </c>
    </row>
    <row r="4" spans="1:13" x14ac:dyDescent="0.25">
      <c r="A4">
        <v>3</v>
      </c>
      <c r="B4">
        <v>1</v>
      </c>
      <c r="C4">
        <v>14</v>
      </c>
      <c r="D4" s="2">
        <v>42072.129305555558</v>
      </c>
      <c r="E4" t="s">
        <v>41</v>
      </c>
      <c r="F4">
        <v>300</v>
      </c>
      <c r="G4" s="3">
        <v>3</v>
      </c>
      <c r="H4">
        <v>1658</v>
      </c>
      <c r="I4" t="s">
        <v>121</v>
      </c>
      <c r="J4">
        <v>12</v>
      </c>
      <c r="K4">
        <v>19</v>
      </c>
      <c r="L4">
        <v>9</v>
      </c>
      <c r="M4">
        <v>2</v>
      </c>
    </row>
    <row r="5" spans="1:13" x14ac:dyDescent="0.25">
      <c r="A5">
        <v>4</v>
      </c>
      <c r="B5">
        <v>1</v>
      </c>
      <c r="C5">
        <v>26</v>
      </c>
      <c r="D5" s="2">
        <v>42077.709803240738</v>
      </c>
      <c r="E5" t="s">
        <v>41</v>
      </c>
      <c r="F5">
        <v>30</v>
      </c>
      <c r="G5" s="3">
        <v>4</v>
      </c>
      <c r="H5">
        <v>1709</v>
      </c>
      <c r="I5" t="s">
        <v>121</v>
      </c>
      <c r="J5">
        <v>8</v>
      </c>
      <c r="K5">
        <v>6</v>
      </c>
      <c r="L5">
        <v>13</v>
      </c>
      <c r="M5">
        <v>15</v>
      </c>
    </row>
    <row r="6" spans="1:13" x14ac:dyDescent="0.25">
      <c r="A6">
        <v>5</v>
      </c>
      <c r="B6">
        <v>1</v>
      </c>
      <c r="C6">
        <v>23</v>
      </c>
      <c r="D6" s="2">
        <v>42075.288865740738</v>
      </c>
      <c r="E6" t="s">
        <v>41</v>
      </c>
      <c r="F6">
        <v>90</v>
      </c>
      <c r="G6" s="3">
        <v>5</v>
      </c>
      <c r="H6">
        <v>1604</v>
      </c>
      <c r="I6" t="s">
        <v>121</v>
      </c>
      <c r="J6">
        <v>18</v>
      </c>
      <c r="K6">
        <v>12</v>
      </c>
      <c r="L6">
        <v>3</v>
      </c>
      <c r="M6">
        <v>9</v>
      </c>
    </row>
    <row r="7" spans="1:13" x14ac:dyDescent="0.25">
      <c r="A7">
        <v>6</v>
      </c>
      <c r="B7">
        <v>1</v>
      </c>
      <c r="C7">
        <v>21</v>
      </c>
      <c r="D7" s="2">
        <v>42074.838807870372</v>
      </c>
      <c r="E7" t="s">
        <v>41</v>
      </c>
      <c r="F7">
        <v>180</v>
      </c>
      <c r="G7" s="3">
        <v>6</v>
      </c>
      <c r="H7">
        <v>1669</v>
      </c>
      <c r="I7" t="s">
        <v>121</v>
      </c>
      <c r="J7">
        <v>11</v>
      </c>
      <c r="K7">
        <v>15</v>
      </c>
      <c r="L7">
        <v>10</v>
      </c>
      <c r="M7">
        <v>6</v>
      </c>
    </row>
    <row r="8" spans="1:13" x14ac:dyDescent="0.25">
      <c r="A8">
        <v>7</v>
      </c>
      <c r="B8">
        <v>1</v>
      </c>
      <c r="C8">
        <v>20</v>
      </c>
      <c r="D8" s="2">
        <v>42071.711655092593</v>
      </c>
      <c r="E8" t="s">
        <v>41</v>
      </c>
      <c r="F8">
        <v>270</v>
      </c>
      <c r="G8" s="3">
        <v>7</v>
      </c>
      <c r="H8">
        <v>0</v>
      </c>
      <c r="I8" t="s">
        <v>117</v>
      </c>
    </row>
    <row r="9" spans="1:13" x14ac:dyDescent="0.25">
      <c r="A9">
        <v>8</v>
      </c>
      <c r="B9">
        <v>1</v>
      </c>
      <c r="C9">
        <v>12</v>
      </c>
      <c r="D9" s="2">
        <v>42078.123831018522</v>
      </c>
      <c r="E9" t="s">
        <v>41</v>
      </c>
      <c r="F9">
        <v>60</v>
      </c>
      <c r="G9" s="3">
        <v>8</v>
      </c>
      <c r="H9">
        <v>1682</v>
      </c>
      <c r="I9" t="s">
        <v>121</v>
      </c>
      <c r="J9">
        <v>9</v>
      </c>
      <c r="K9">
        <v>8</v>
      </c>
      <c r="L9">
        <v>12</v>
      </c>
      <c r="M9">
        <v>13</v>
      </c>
    </row>
    <row r="10" spans="1:13" x14ac:dyDescent="0.25">
      <c r="A10">
        <v>9</v>
      </c>
      <c r="B10">
        <v>1</v>
      </c>
      <c r="C10">
        <v>6</v>
      </c>
      <c r="D10" s="2">
        <v>42074.400636574072</v>
      </c>
      <c r="E10" t="s">
        <v>41</v>
      </c>
      <c r="F10">
        <v>60</v>
      </c>
      <c r="G10" s="3">
        <v>9</v>
      </c>
      <c r="H10">
        <v>1674</v>
      </c>
      <c r="I10" t="s">
        <v>121</v>
      </c>
      <c r="J10">
        <v>10</v>
      </c>
      <c r="K10">
        <v>9</v>
      </c>
      <c r="L10">
        <v>11</v>
      </c>
      <c r="M10">
        <v>12</v>
      </c>
    </row>
    <row r="11" spans="1:13" x14ac:dyDescent="0.25">
      <c r="A11">
        <v>10</v>
      </c>
      <c r="B11">
        <v>1</v>
      </c>
      <c r="C11">
        <v>22</v>
      </c>
      <c r="D11" s="2">
        <v>42071.937164351853</v>
      </c>
      <c r="E11" t="s">
        <v>41</v>
      </c>
      <c r="F11">
        <v>30</v>
      </c>
      <c r="G11" s="3">
        <v>10</v>
      </c>
      <c r="H11">
        <v>0</v>
      </c>
      <c r="I11" t="s">
        <v>120</v>
      </c>
    </row>
    <row r="12" spans="1:13" x14ac:dyDescent="0.25">
      <c r="A12">
        <v>11</v>
      </c>
      <c r="B12">
        <v>1</v>
      </c>
      <c r="C12">
        <v>9</v>
      </c>
      <c r="D12" s="2">
        <v>42077.591921296298</v>
      </c>
      <c r="E12" t="s">
        <v>41</v>
      </c>
      <c r="F12">
        <v>90</v>
      </c>
      <c r="G12" s="3">
        <v>11</v>
      </c>
      <c r="H12">
        <v>0</v>
      </c>
      <c r="I12" t="s">
        <v>117</v>
      </c>
    </row>
    <row r="13" spans="1:13" x14ac:dyDescent="0.25">
      <c r="A13">
        <v>12</v>
      </c>
      <c r="B13">
        <v>1</v>
      </c>
      <c r="C13">
        <v>31</v>
      </c>
      <c r="D13" s="2">
        <v>42074.876504629632</v>
      </c>
      <c r="E13" t="s">
        <v>41</v>
      </c>
      <c r="F13">
        <v>240</v>
      </c>
      <c r="G13" s="3">
        <v>12</v>
      </c>
      <c r="H13">
        <v>1611</v>
      </c>
      <c r="I13" t="s">
        <v>121</v>
      </c>
      <c r="J13">
        <v>17</v>
      </c>
      <c r="K13">
        <v>16</v>
      </c>
      <c r="L13">
        <v>4</v>
      </c>
      <c r="M13">
        <v>5</v>
      </c>
    </row>
    <row r="14" spans="1:13" x14ac:dyDescent="0.25">
      <c r="A14">
        <v>13</v>
      </c>
      <c r="B14">
        <v>1</v>
      </c>
      <c r="C14">
        <v>16</v>
      </c>
      <c r="D14" s="2">
        <v>42073.42759259259</v>
      </c>
      <c r="E14" t="s">
        <v>41</v>
      </c>
      <c r="F14">
        <v>0</v>
      </c>
      <c r="G14" s="3">
        <v>13</v>
      </c>
      <c r="H14">
        <v>1597</v>
      </c>
      <c r="I14" t="s">
        <v>121</v>
      </c>
      <c r="J14">
        <v>20</v>
      </c>
      <c r="K14">
        <v>10</v>
      </c>
      <c r="L14">
        <v>1</v>
      </c>
      <c r="M14">
        <v>11</v>
      </c>
    </row>
    <row r="15" spans="1:13" x14ac:dyDescent="0.25">
      <c r="A15">
        <v>14</v>
      </c>
      <c r="B15">
        <v>1</v>
      </c>
      <c r="C15">
        <v>29</v>
      </c>
      <c r="D15" s="2">
        <v>42073.67591435185</v>
      </c>
      <c r="E15" t="s">
        <v>41</v>
      </c>
      <c r="F15">
        <v>150</v>
      </c>
      <c r="G15" s="3">
        <v>14</v>
      </c>
      <c r="H15">
        <v>1645</v>
      </c>
      <c r="I15" t="s">
        <v>121</v>
      </c>
      <c r="J15">
        <v>14</v>
      </c>
      <c r="K15">
        <v>13</v>
      </c>
      <c r="L15">
        <v>7</v>
      </c>
      <c r="M15">
        <v>8</v>
      </c>
    </row>
    <row r="16" spans="1:13" x14ac:dyDescent="0.25">
      <c r="A16">
        <v>15</v>
      </c>
      <c r="B16">
        <v>1</v>
      </c>
      <c r="C16">
        <v>13</v>
      </c>
      <c r="D16" s="2">
        <v>42078.935844907406</v>
      </c>
      <c r="E16" t="s">
        <v>41</v>
      </c>
      <c r="F16">
        <v>270</v>
      </c>
      <c r="G16" s="3">
        <v>15</v>
      </c>
      <c r="H16">
        <v>1631</v>
      </c>
      <c r="I16" t="s">
        <v>121</v>
      </c>
      <c r="J16">
        <v>15</v>
      </c>
      <c r="K16">
        <v>17</v>
      </c>
      <c r="L16">
        <v>6</v>
      </c>
      <c r="M16">
        <v>4</v>
      </c>
    </row>
    <row r="17" spans="1:13" x14ac:dyDescent="0.25">
      <c r="A17">
        <v>16</v>
      </c>
      <c r="B17">
        <v>1</v>
      </c>
      <c r="C17">
        <v>30</v>
      </c>
      <c r="D17" s="2">
        <v>42077.1952662037</v>
      </c>
      <c r="E17" t="s">
        <v>41</v>
      </c>
      <c r="F17">
        <v>120</v>
      </c>
      <c r="G17" s="3">
        <v>16</v>
      </c>
      <c r="H17">
        <v>0</v>
      </c>
      <c r="I17" t="s">
        <v>120</v>
      </c>
    </row>
    <row r="18" spans="1:13" x14ac:dyDescent="0.25">
      <c r="A18">
        <v>17</v>
      </c>
      <c r="B18">
        <v>1</v>
      </c>
      <c r="C18">
        <v>8</v>
      </c>
      <c r="D18" s="2">
        <v>42073.769201388888</v>
      </c>
      <c r="E18" t="s">
        <v>41</v>
      </c>
      <c r="F18">
        <v>240</v>
      </c>
      <c r="G18" s="3">
        <v>17</v>
      </c>
      <c r="H18">
        <v>1599</v>
      </c>
      <c r="I18" t="s">
        <v>121</v>
      </c>
      <c r="J18">
        <v>19</v>
      </c>
      <c r="K18">
        <v>18</v>
      </c>
      <c r="L18">
        <v>2</v>
      </c>
      <c r="M18">
        <v>3</v>
      </c>
    </row>
    <row r="19" spans="1:13" x14ac:dyDescent="0.25">
      <c r="A19">
        <v>18</v>
      </c>
      <c r="B19">
        <v>1</v>
      </c>
      <c r="C19">
        <v>27</v>
      </c>
      <c r="D19" s="2">
        <v>42075.696446759262</v>
      </c>
      <c r="E19" t="s">
        <v>41</v>
      </c>
      <c r="F19">
        <v>90</v>
      </c>
      <c r="G19" s="3">
        <v>18</v>
      </c>
      <c r="H19">
        <v>1738</v>
      </c>
      <c r="I19" t="s">
        <v>121</v>
      </c>
      <c r="J19">
        <v>7</v>
      </c>
      <c r="K19">
        <v>7</v>
      </c>
      <c r="L19">
        <v>14</v>
      </c>
      <c r="M19">
        <v>14</v>
      </c>
    </row>
    <row r="20" spans="1:13" x14ac:dyDescent="0.25">
      <c r="A20">
        <v>19</v>
      </c>
      <c r="B20">
        <v>1</v>
      </c>
      <c r="C20">
        <v>7</v>
      </c>
      <c r="D20" s="2">
        <v>42074.622997685183</v>
      </c>
      <c r="E20" t="s">
        <v>41</v>
      </c>
      <c r="F20">
        <v>300</v>
      </c>
      <c r="G20" s="3">
        <v>19</v>
      </c>
      <c r="H20">
        <v>1645</v>
      </c>
      <c r="I20" t="s">
        <v>121</v>
      </c>
      <c r="J20">
        <v>14</v>
      </c>
      <c r="K20">
        <v>20</v>
      </c>
      <c r="L20">
        <v>7</v>
      </c>
      <c r="M20">
        <v>1</v>
      </c>
    </row>
    <row r="21" spans="1:13" x14ac:dyDescent="0.25">
      <c r="A21">
        <v>20</v>
      </c>
      <c r="B21">
        <v>1</v>
      </c>
      <c r="C21">
        <v>17</v>
      </c>
      <c r="D21" s="2">
        <v>42074.509270833332</v>
      </c>
      <c r="E21" t="s">
        <v>41</v>
      </c>
      <c r="F21">
        <v>120</v>
      </c>
      <c r="G21" s="3">
        <v>20</v>
      </c>
      <c r="H21">
        <v>1613</v>
      </c>
      <c r="I21" t="s">
        <v>121</v>
      </c>
      <c r="J21">
        <v>16</v>
      </c>
      <c r="K21">
        <v>14</v>
      </c>
      <c r="L21">
        <v>5</v>
      </c>
      <c r="M21">
        <v>7</v>
      </c>
    </row>
    <row r="22" spans="1:13" x14ac:dyDescent="0.25">
      <c r="A22">
        <v>21</v>
      </c>
      <c r="B22">
        <v>2</v>
      </c>
      <c r="C22">
        <v>20</v>
      </c>
      <c r="D22" s="2">
        <v>42083.074282407404</v>
      </c>
      <c r="E22" t="s">
        <v>41</v>
      </c>
      <c r="F22">
        <v>0</v>
      </c>
      <c r="G22" s="3">
        <v>1</v>
      </c>
      <c r="H22">
        <v>1850</v>
      </c>
      <c r="I22" t="s">
        <v>121</v>
      </c>
      <c r="J22">
        <v>10</v>
      </c>
      <c r="K22">
        <v>5</v>
      </c>
      <c r="L22">
        <v>11</v>
      </c>
      <c r="M22">
        <v>16</v>
      </c>
    </row>
    <row r="23" spans="1:13" x14ac:dyDescent="0.25">
      <c r="A23">
        <v>22</v>
      </c>
      <c r="B23">
        <v>2</v>
      </c>
      <c r="C23">
        <v>22</v>
      </c>
      <c r="D23" s="2">
        <v>42082.959166666667</v>
      </c>
      <c r="E23" t="s">
        <v>41</v>
      </c>
      <c r="F23">
        <v>180</v>
      </c>
      <c r="G23" s="3">
        <v>2</v>
      </c>
      <c r="H23">
        <v>1747</v>
      </c>
      <c r="I23" t="s">
        <v>121</v>
      </c>
      <c r="J23">
        <v>19</v>
      </c>
      <c r="K23">
        <v>18</v>
      </c>
      <c r="L23">
        <v>2</v>
      </c>
      <c r="M23">
        <v>3</v>
      </c>
    </row>
    <row r="24" spans="1:13" x14ac:dyDescent="0.25">
      <c r="A24">
        <v>23</v>
      </c>
      <c r="B24">
        <v>2</v>
      </c>
      <c r="C24">
        <v>13</v>
      </c>
      <c r="D24" s="2">
        <v>42084.886412037034</v>
      </c>
      <c r="E24" t="s">
        <v>41</v>
      </c>
      <c r="F24">
        <v>60</v>
      </c>
      <c r="G24" s="3">
        <v>3</v>
      </c>
      <c r="H24">
        <v>1901</v>
      </c>
      <c r="I24" t="s">
        <v>121</v>
      </c>
      <c r="J24">
        <v>7</v>
      </c>
      <c r="K24">
        <v>6</v>
      </c>
      <c r="L24">
        <v>14</v>
      </c>
      <c r="M24">
        <v>15</v>
      </c>
    </row>
    <row r="25" spans="1:13" x14ac:dyDescent="0.25">
      <c r="A25">
        <v>24</v>
      </c>
      <c r="B25">
        <v>2</v>
      </c>
      <c r="C25">
        <v>3</v>
      </c>
      <c r="D25" s="2">
        <v>42083.814166666663</v>
      </c>
      <c r="E25" t="s">
        <v>41</v>
      </c>
      <c r="F25">
        <v>150</v>
      </c>
      <c r="G25" s="3">
        <v>4</v>
      </c>
      <c r="H25">
        <v>0</v>
      </c>
      <c r="I25" t="s">
        <v>120</v>
      </c>
    </row>
    <row r="26" spans="1:13" x14ac:dyDescent="0.25">
      <c r="A26">
        <v>25</v>
      </c>
      <c r="B26">
        <v>2</v>
      </c>
      <c r="C26">
        <v>15</v>
      </c>
      <c r="D26" s="2">
        <v>42080.697766203702</v>
      </c>
      <c r="E26" t="s">
        <v>41</v>
      </c>
      <c r="F26">
        <v>180</v>
      </c>
      <c r="G26" s="3">
        <v>5</v>
      </c>
      <c r="H26">
        <v>0</v>
      </c>
      <c r="I26" t="s">
        <v>120</v>
      </c>
    </row>
    <row r="27" spans="1:13" x14ac:dyDescent="0.25">
      <c r="A27">
        <v>26</v>
      </c>
      <c r="B27">
        <v>2</v>
      </c>
      <c r="C27">
        <v>19</v>
      </c>
      <c r="D27" s="2">
        <v>42079.908738425926</v>
      </c>
      <c r="E27" t="s">
        <v>41</v>
      </c>
      <c r="F27">
        <v>300</v>
      </c>
      <c r="G27" s="3">
        <v>6</v>
      </c>
      <c r="H27">
        <v>0</v>
      </c>
      <c r="I27" t="s">
        <v>120</v>
      </c>
    </row>
    <row r="28" spans="1:13" x14ac:dyDescent="0.25">
      <c r="A28">
        <v>27</v>
      </c>
      <c r="B28">
        <v>2</v>
      </c>
      <c r="C28">
        <v>21</v>
      </c>
      <c r="D28" s="2">
        <v>42085.115104166667</v>
      </c>
      <c r="E28" t="s">
        <v>41</v>
      </c>
      <c r="F28">
        <v>150</v>
      </c>
      <c r="G28" s="3">
        <v>7</v>
      </c>
      <c r="H28">
        <v>1756</v>
      </c>
      <c r="I28" t="s">
        <v>121</v>
      </c>
      <c r="J28">
        <v>18</v>
      </c>
      <c r="K28">
        <v>17</v>
      </c>
      <c r="L28">
        <v>3</v>
      </c>
      <c r="M28">
        <v>4</v>
      </c>
    </row>
    <row r="29" spans="1:13" x14ac:dyDescent="0.25">
      <c r="A29">
        <v>28</v>
      </c>
      <c r="B29">
        <v>2</v>
      </c>
      <c r="C29">
        <v>26</v>
      </c>
      <c r="D29" s="2">
        <v>42081.723391203705</v>
      </c>
      <c r="E29" t="s">
        <v>41</v>
      </c>
      <c r="F29">
        <v>120</v>
      </c>
      <c r="G29" s="3">
        <v>8</v>
      </c>
      <c r="H29">
        <v>1903</v>
      </c>
      <c r="I29" t="s">
        <v>121</v>
      </c>
      <c r="J29">
        <v>6</v>
      </c>
      <c r="K29">
        <v>11</v>
      </c>
      <c r="L29">
        <v>15</v>
      </c>
      <c r="M29">
        <v>10</v>
      </c>
    </row>
    <row r="30" spans="1:13" x14ac:dyDescent="0.25">
      <c r="A30">
        <v>29</v>
      </c>
      <c r="B30">
        <v>2</v>
      </c>
      <c r="C30">
        <v>28</v>
      </c>
      <c r="D30" s="2">
        <v>42083.623530092591</v>
      </c>
      <c r="E30" t="s">
        <v>41</v>
      </c>
      <c r="F30">
        <v>90</v>
      </c>
      <c r="G30" s="3">
        <v>9</v>
      </c>
      <c r="H30">
        <v>1793</v>
      </c>
      <c r="I30" t="s">
        <v>121</v>
      </c>
      <c r="J30">
        <v>13</v>
      </c>
      <c r="K30">
        <v>14</v>
      </c>
      <c r="L30">
        <v>8</v>
      </c>
      <c r="M30">
        <v>7</v>
      </c>
    </row>
    <row r="31" spans="1:13" x14ac:dyDescent="0.25">
      <c r="A31">
        <v>30</v>
      </c>
      <c r="B31">
        <v>2</v>
      </c>
      <c r="C31">
        <v>27</v>
      </c>
      <c r="D31" s="2">
        <v>42080.481828703705</v>
      </c>
      <c r="E31" t="s">
        <v>41</v>
      </c>
      <c r="F31">
        <v>60</v>
      </c>
      <c r="G31" s="3">
        <v>10</v>
      </c>
      <c r="H31">
        <v>1872</v>
      </c>
      <c r="I31" t="s">
        <v>121</v>
      </c>
      <c r="J31">
        <v>9</v>
      </c>
      <c r="K31">
        <v>7</v>
      </c>
      <c r="L31">
        <v>12</v>
      </c>
      <c r="M31">
        <v>14</v>
      </c>
    </row>
    <row r="32" spans="1:13" x14ac:dyDescent="0.25">
      <c r="A32">
        <v>31</v>
      </c>
      <c r="B32">
        <v>2</v>
      </c>
      <c r="C32">
        <v>25</v>
      </c>
      <c r="D32" s="2">
        <v>42082.100532407407</v>
      </c>
      <c r="E32" t="s">
        <v>41</v>
      </c>
      <c r="F32">
        <v>30</v>
      </c>
      <c r="G32" s="3">
        <v>11</v>
      </c>
      <c r="H32">
        <v>1762</v>
      </c>
      <c r="I32" t="s">
        <v>121</v>
      </c>
      <c r="J32">
        <v>17</v>
      </c>
      <c r="K32">
        <v>12</v>
      </c>
      <c r="L32">
        <v>4</v>
      </c>
      <c r="M32">
        <v>9</v>
      </c>
    </row>
    <row r="33" spans="1:13" x14ac:dyDescent="0.25">
      <c r="A33">
        <v>32</v>
      </c>
      <c r="B33">
        <v>2</v>
      </c>
      <c r="C33">
        <v>2</v>
      </c>
      <c r="D33" s="2">
        <v>42084.000671296293</v>
      </c>
      <c r="E33" t="s">
        <v>41</v>
      </c>
      <c r="F33">
        <v>0</v>
      </c>
      <c r="G33" s="3">
        <v>12</v>
      </c>
      <c r="H33">
        <v>0</v>
      </c>
      <c r="I33" t="s">
        <v>120</v>
      </c>
    </row>
    <row r="34" spans="1:13" x14ac:dyDescent="0.25">
      <c r="A34">
        <v>33</v>
      </c>
      <c r="B34">
        <v>2</v>
      </c>
      <c r="C34">
        <v>11</v>
      </c>
      <c r="D34" s="2">
        <v>42084.40111111111</v>
      </c>
      <c r="E34" t="s">
        <v>41</v>
      </c>
      <c r="F34">
        <v>300</v>
      </c>
      <c r="G34" s="3">
        <v>13</v>
      </c>
      <c r="H34">
        <v>1933</v>
      </c>
      <c r="I34" t="s">
        <v>121</v>
      </c>
      <c r="J34">
        <v>4</v>
      </c>
      <c r="K34">
        <v>16</v>
      </c>
      <c r="L34">
        <v>17</v>
      </c>
      <c r="M34">
        <v>5</v>
      </c>
    </row>
    <row r="35" spans="1:13" x14ac:dyDescent="0.25">
      <c r="A35">
        <v>34</v>
      </c>
      <c r="B35">
        <v>2</v>
      </c>
      <c r="C35">
        <v>10</v>
      </c>
      <c r="D35" s="2">
        <v>42080.645972222221</v>
      </c>
      <c r="E35" t="s">
        <v>41</v>
      </c>
      <c r="F35">
        <v>270</v>
      </c>
      <c r="G35" s="3">
        <v>14</v>
      </c>
      <c r="H35">
        <v>1924</v>
      </c>
      <c r="I35" t="s">
        <v>121</v>
      </c>
      <c r="J35">
        <v>5</v>
      </c>
      <c r="K35">
        <v>15</v>
      </c>
      <c r="L35">
        <v>16</v>
      </c>
      <c r="M35">
        <v>6</v>
      </c>
    </row>
    <row r="36" spans="1:13" x14ac:dyDescent="0.25">
      <c r="A36">
        <v>35</v>
      </c>
      <c r="B36">
        <v>2</v>
      </c>
      <c r="C36">
        <v>16</v>
      </c>
      <c r="D36" s="2">
        <v>42085.183888888889</v>
      </c>
      <c r="E36" t="s">
        <v>41</v>
      </c>
      <c r="F36">
        <v>0</v>
      </c>
      <c r="G36" s="3">
        <v>15</v>
      </c>
      <c r="H36">
        <v>1727</v>
      </c>
      <c r="I36" t="s">
        <v>121</v>
      </c>
      <c r="J36">
        <v>20</v>
      </c>
      <c r="K36">
        <v>13</v>
      </c>
      <c r="L36">
        <v>1</v>
      </c>
      <c r="M36">
        <v>8</v>
      </c>
    </row>
    <row r="37" spans="1:13" x14ac:dyDescent="0.25">
      <c r="A37">
        <v>36</v>
      </c>
      <c r="B37">
        <v>2</v>
      </c>
      <c r="C37">
        <v>18</v>
      </c>
      <c r="D37" s="2">
        <v>42082.459490740737</v>
      </c>
      <c r="E37" t="s">
        <v>41</v>
      </c>
      <c r="F37">
        <v>0</v>
      </c>
      <c r="G37" s="3">
        <v>16</v>
      </c>
      <c r="H37">
        <v>1786</v>
      </c>
      <c r="I37" t="s">
        <v>121</v>
      </c>
      <c r="J37">
        <v>14</v>
      </c>
      <c r="K37">
        <v>9</v>
      </c>
      <c r="L37">
        <v>7</v>
      </c>
      <c r="M37">
        <v>12</v>
      </c>
    </row>
    <row r="38" spans="1:13" x14ac:dyDescent="0.25">
      <c r="A38">
        <v>37</v>
      </c>
      <c r="B38">
        <v>2</v>
      </c>
      <c r="C38">
        <v>1</v>
      </c>
      <c r="D38" s="2">
        <v>42084.03837962963</v>
      </c>
      <c r="E38" t="s">
        <v>41</v>
      </c>
      <c r="F38">
        <v>60</v>
      </c>
      <c r="G38" s="3">
        <v>17</v>
      </c>
      <c r="H38">
        <v>1845</v>
      </c>
      <c r="I38" t="s">
        <v>121</v>
      </c>
      <c r="J38">
        <v>11</v>
      </c>
      <c r="K38">
        <v>10</v>
      </c>
      <c r="L38">
        <v>10</v>
      </c>
      <c r="M38">
        <v>11</v>
      </c>
    </row>
    <row r="39" spans="1:13" x14ac:dyDescent="0.25">
      <c r="A39">
        <v>38</v>
      </c>
      <c r="B39">
        <v>2</v>
      </c>
      <c r="C39">
        <v>17</v>
      </c>
      <c r="D39" s="2">
        <v>42081.31449074074</v>
      </c>
      <c r="E39" t="s">
        <v>41</v>
      </c>
      <c r="F39">
        <v>30</v>
      </c>
      <c r="G39" s="3">
        <v>18</v>
      </c>
      <c r="H39">
        <v>1837</v>
      </c>
      <c r="I39" t="s">
        <v>121</v>
      </c>
      <c r="J39">
        <v>12</v>
      </c>
      <c r="K39">
        <v>8</v>
      </c>
      <c r="L39">
        <v>9</v>
      </c>
      <c r="M39">
        <v>13</v>
      </c>
    </row>
    <row r="40" spans="1:13" x14ac:dyDescent="0.25">
      <c r="A40">
        <v>39</v>
      </c>
      <c r="B40">
        <v>2</v>
      </c>
      <c r="C40">
        <v>5</v>
      </c>
      <c r="D40" s="2">
        <v>42085.851018518515</v>
      </c>
      <c r="E40" t="s">
        <v>41</v>
      </c>
      <c r="F40">
        <v>0</v>
      </c>
      <c r="G40" s="3">
        <v>19</v>
      </c>
      <c r="H40">
        <v>1896</v>
      </c>
      <c r="I40" t="s">
        <v>121</v>
      </c>
      <c r="J40">
        <v>8</v>
      </c>
      <c r="K40">
        <v>4</v>
      </c>
      <c r="L40">
        <v>13</v>
      </c>
      <c r="M40">
        <v>17</v>
      </c>
    </row>
    <row r="41" spans="1:13" x14ac:dyDescent="0.25">
      <c r="A41">
        <v>40</v>
      </c>
      <c r="B41">
        <v>2</v>
      </c>
      <c r="C41">
        <v>14</v>
      </c>
      <c r="D41" s="2">
        <v>42082.138414351852</v>
      </c>
      <c r="E41" t="s">
        <v>41</v>
      </c>
      <c r="F41">
        <v>60</v>
      </c>
      <c r="G41" s="3">
        <v>20</v>
      </c>
      <c r="H41">
        <v>0</v>
      </c>
      <c r="I41" t="s">
        <v>117</v>
      </c>
    </row>
    <row r="42" spans="1:13" x14ac:dyDescent="0.25">
      <c r="A42">
        <v>41</v>
      </c>
      <c r="B42">
        <v>2</v>
      </c>
      <c r="C42">
        <v>30</v>
      </c>
      <c r="D42" s="2">
        <v>42084.96297453704</v>
      </c>
      <c r="E42" t="s">
        <v>41</v>
      </c>
      <c r="F42">
        <v>300</v>
      </c>
      <c r="G42" s="3">
        <v>21</v>
      </c>
      <c r="H42">
        <v>1785</v>
      </c>
      <c r="I42" t="s">
        <v>121</v>
      </c>
      <c r="J42">
        <v>15</v>
      </c>
      <c r="K42">
        <v>20</v>
      </c>
      <c r="L42">
        <v>6</v>
      </c>
      <c r="M42">
        <v>1</v>
      </c>
    </row>
    <row r="43" spans="1:13" x14ac:dyDescent="0.25">
      <c r="A43">
        <v>42</v>
      </c>
      <c r="B43">
        <v>2</v>
      </c>
      <c r="C43">
        <v>7</v>
      </c>
      <c r="D43" s="2">
        <v>42080.195810185185</v>
      </c>
      <c r="E43" t="s">
        <v>41</v>
      </c>
      <c r="F43">
        <v>270</v>
      </c>
      <c r="G43" s="3">
        <v>22</v>
      </c>
      <c r="H43">
        <v>1763</v>
      </c>
      <c r="I43" t="s">
        <v>121</v>
      </c>
      <c r="J43">
        <v>16</v>
      </c>
      <c r="K43">
        <v>19</v>
      </c>
      <c r="L43">
        <v>5</v>
      </c>
      <c r="M43">
        <v>2</v>
      </c>
    </row>
    <row r="44" spans="1:13" x14ac:dyDescent="0.25">
      <c r="A44">
        <v>43</v>
      </c>
      <c r="B44">
        <v>3</v>
      </c>
      <c r="C44">
        <v>20</v>
      </c>
      <c r="D44" s="2">
        <v>42101.802893518521</v>
      </c>
      <c r="E44" t="s">
        <v>41</v>
      </c>
      <c r="F44">
        <v>240</v>
      </c>
      <c r="G44" s="3">
        <v>1</v>
      </c>
      <c r="H44">
        <v>1540</v>
      </c>
      <c r="I44" t="s">
        <v>121</v>
      </c>
      <c r="J44">
        <v>11</v>
      </c>
      <c r="K44">
        <v>15</v>
      </c>
      <c r="L44">
        <v>10</v>
      </c>
      <c r="M44">
        <v>6</v>
      </c>
    </row>
    <row r="45" spans="1:13" x14ac:dyDescent="0.25">
      <c r="A45">
        <v>44</v>
      </c>
      <c r="B45">
        <v>3</v>
      </c>
      <c r="C45">
        <v>11</v>
      </c>
      <c r="D45" s="2">
        <v>42108.07739583333</v>
      </c>
      <c r="E45" t="s">
        <v>41</v>
      </c>
      <c r="F45">
        <v>90</v>
      </c>
      <c r="G45" s="3">
        <v>2</v>
      </c>
      <c r="H45">
        <v>0</v>
      </c>
      <c r="I45" t="s">
        <v>117</v>
      </c>
    </row>
    <row r="46" spans="1:13" x14ac:dyDescent="0.25">
      <c r="A46">
        <v>45</v>
      </c>
      <c r="B46">
        <v>3</v>
      </c>
      <c r="C46">
        <v>25</v>
      </c>
      <c r="D46" s="2">
        <v>42094.423113425924</v>
      </c>
      <c r="E46" t="s">
        <v>41</v>
      </c>
      <c r="F46">
        <v>120</v>
      </c>
      <c r="G46" s="3">
        <v>3</v>
      </c>
      <c r="H46">
        <v>1478</v>
      </c>
      <c r="I46" t="s">
        <v>121</v>
      </c>
      <c r="J46">
        <v>17</v>
      </c>
      <c r="K46">
        <v>13</v>
      </c>
      <c r="L46">
        <v>4</v>
      </c>
      <c r="M46">
        <v>8</v>
      </c>
    </row>
    <row r="47" spans="1:13" x14ac:dyDescent="0.25">
      <c r="A47">
        <v>46</v>
      </c>
      <c r="B47">
        <v>3</v>
      </c>
      <c r="C47">
        <v>28</v>
      </c>
      <c r="D47" s="2">
        <v>42099.350173611114</v>
      </c>
      <c r="E47" t="s">
        <v>41</v>
      </c>
      <c r="F47">
        <v>240</v>
      </c>
      <c r="G47" s="3">
        <v>4</v>
      </c>
      <c r="H47">
        <v>1607</v>
      </c>
      <c r="I47" t="s">
        <v>121</v>
      </c>
      <c r="J47">
        <v>8</v>
      </c>
      <c r="K47">
        <v>12</v>
      </c>
      <c r="L47">
        <v>13</v>
      </c>
      <c r="M47">
        <v>9</v>
      </c>
    </row>
    <row r="48" spans="1:13" x14ac:dyDescent="0.25">
      <c r="A48">
        <v>47</v>
      </c>
      <c r="B48">
        <v>3</v>
      </c>
      <c r="C48">
        <v>13</v>
      </c>
      <c r="D48" s="2">
        <v>42097.278113425928</v>
      </c>
      <c r="E48" t="s">
        <v>41</v>
      </c>
      <c r="F48">
        <v>90</v>
      </c>
      <c r="G48" s="3">
        <v>5</v>
      </c>
      <c r="H48">
        <v>1520</v>
      </c>
      <c r="I48" t="s">
        <v>121</v>
      </c>
      <c r="J48">
        <v>14</v>
      </c>
      <c r="K48">
        <v>9</v>
      </c>
      <c r="L48">
        <v>7</v>
      </c>
      <c r="M48">
        <v>12</v>
      </c>
    </row>
    <row r="49" spans="1:13" x14ac:dyDescent="0.25">
      <c r="A49">
        <v>48</v>
      </c>
      <c r="B49">
        <v>3</v>
      </c>
      <c r="C49">
        <v>19</v>
      </c>
      <c r="D49" s="2">
        <v>42096.174791666665</v>
      </c>
      <c r="E49" t="s">
        <v>41</v>
      </c>
      <c r="F49">
        <v>270</v>
      </c>
      <c r="G49" s="3">
        <v>6</v>
      </c>
      <c r="H49">
        <v>0</v>
      </c>
      <c r="I49" t="s">
        <v>120</v>
      </c>
    </row>
    <row r="50" spans="1:13" x14ac:dyDescent="0.25">
      <c r="A50">
        <v>49</v>
      </c>
      <c r="B50">
        <v>3</v>
      </c>
      <c r="C50">
        <v>18</v>
      </c>
      <c r="D50" s="2">
        <v>42091.846284722225</v>
      </c>
      <c r="E50" t="s">
        <v>41</v>
      </c>
      <c r="F50">
        <v>270</v>
      </c>
      <c r="G50" s="3">
        <v>7</v>
      </c>
      <c r="H50">
        <v>0</v>
      </c>
      <c r="I50" t="s">
        <v>120</v>
      </c>
    </row>
    <row r="51" spans="1:13" x14ac:dyDescent="0.25">
      <c r="A51">
        <v>50</v>
      </c>
      <c r="B51">
        <v>3</v>
      </c>
      <c r="C51">
        <v>2</v>
      </c>
      <c r="D51" s="2">
        <v>42097.866122685184</v>
      </c>
      <c r="E51" t="s">
        <v>41</v>
      </c>
      <c r="F51">
        <v>300</v>
      </c>
      <c r="G51" s="3">
        <v>8</v>
      </c>
      <c r="H51">
        <v>1459</v>
      </c>
      <c r="I51" t="s">
        <v>121</v>
      </c>
      <c r="J51">
        <v>20</v>
      </c>
      <c r="K51">
        <v>20</v>
      </c>
      <c r="L51">
        <v>1</v>
      </c>
      <c r="M51">
        <v>1</v>
      </c>
    </row>
    <row r="52" spans="1:13" x14ac:dyDescent="0.25">
      <c r="A52">
        <v>51</v>
      </c>
      <c r="B52">
        <v>3</v>
      </c>
      <c r="C52">
        <v>15</v>
      </c>
      <c r="D52" s="2">
        <v>42094.696620370371</v>
      </c>
      <c r="E52" t="s">
        <v>41</v>
      </c>
      <c r="F52">
        <v>30</v>
      </c>
      <c r="G52" s="3">
        <v>9</v>
      </c>
      <c r="H52">
        <v>0</v>
      </c>
      <c r="I52" t="s">
        <v>117</v>
      </c>
    </row>
    <row r="53" spans="1:13" x14ac:dyDescent="0.25">
      <c r="A53">
        <v>52</v>
      </c>
      <c r="B53">
        <v>3</v>
      </c>
      <c r="C53">
        <v>30</v>
      </c>
      <c r="D53" s="2">
        <v>42105.416875000003</v>
      </c>
      <c r="E53" t="s">
        <v>41</v>
      </c>
      <c r="F53">
        <v>300</v>
      </c>
      <c r="G53" s="3">
        <v>10</v>
      </c>
      <c r="H53">
        <v>1550</v>
      </c>
      <c r="I53" t="s">
        <v>121</v>
      </c>
      <c r="J53">
        <v>9</v>
      </c>
      <c r="K53">
        <v>17</v>
      </c>
      <c r="L53">
        <v>12</v>
      </c>
      <c r="M53">
        <v>4</v>
      </c>
    </row>
    <row r="54" spans="1:13" x14ac:dyDescent="0.25">
      <c r="A54">
        <v>53</v>
      </c>
      <c r="B54">
        <v>3</v>
      </c>
      <c r="C54">
        <v>16</v>
      </c>
      <c r="D54" s="2">
        <v>42094.995763888888</v>
      </c>
      <c r="E54" t="s">
        <v>41</v>
      </c>
      <c r="F54">
        <v>270</v>
      </c>
      <c r="G54" s="3">
        <v>11</v>
      </c>
      <c r="H54">
        <v>0</v>
      </c>
      <c r="I54" t="s">
        <v>120</v>
      </c>
    </row>
    <row r="55" spans="1:13" x14ac:dyDescent="0.25">
      <c r="A55">
        <v>54</v>
      </c>
      <c r="B55">
        <v>3</v>
      </c>
      <c r="C55">
        <v>26</v>
      </c>
      <c r="D55" s="2">
        <v>42099.677615740744</v>
      </c>
      <c r="E55" t="s">
        <v>41</v>
      </c>
      <c r="F55">
        <v>120</v>
      </c>
      <c r="G55" s="3">
        <v>12</v>
      </c>
      <c r="H55">
        <v>1626</v>
      </c>
      <c r="I55" t="s">
        <v>121</v>
      </c>
      <c r="J55">
        <v>7</v>
      </c>
      <c r="K55">
        <v>7</v>
      </c>
      <c r="L55">
        <v>14</v>
      </c>
      <c r="M55">
        <v>14</v>
      </c>
    </row>
    <row r="56" spans="1:13" x14ac:dyDescent="0.25">
      <c r="A56">
        <v>55</v>
      </c>
      <c r="B56">
        <v>3</v>
      </c>
      <c r="C56">
        <v>29</v>
      </c>
      <c r="D56" s="2">
        <v>42105.28361111111</v>
      </c>
      <c r="E56" t="s">
        <v>41</v>
      </c>
      <c r="F56">
        <v>0</v>
      </c>
      <c r="G56" s="3">
        <v>13</v>
      </c>
      <c r="H56">
        <v>1466</v>
      </c>
      <c r="I56" t="s">
        <v>121</v>
      </c>
      <c r="J56">
        <v>19</v>
      </c>
      <c r="K56">
        <v>8</v>
      </c>
      <c r="L56">
        <v>2</v>
      </c>
      <c r="M56">
        <v>13</v>
      </c>
    </row>
    <row r="57" spans="1:13" x14ac:dyDescent="0.25">
      <c r="A57">
        <v>56</v>
      </c>
      <c r="B57">
        <v>3</v>
      </c>
      <c r="C57">
        <v>6</v>
      </c>
      <c r="D57" s="2">
        <v>42085.795335648145</v>
      </c>
      <c r="E57" t="s">
        <v>41</v>
      </c>
      <c r="F57">
        <v>300</v>
      </c>
      <c r="G57" s="3">
        <v>14</v>
      </c>
      <c r="H57">
        <v>1521</v>
      </c>
      <c r="I57" t="s">
        <v>121</v>
      </c>
      <c r="J57">
        <v>13</v>
      </c>
      <c r="K57">
        <v>18</v>
      </c>
      <c r="L57">
        <v>8</v>
      </c>
      <c r="M57">
        <v>3</v>
      </c>
    </row>
    <row r="58" spans="1:13" x14ac:dyDescent="0.25">
      <c r="A58">
        <v>57</v>
      </c>
      <c r="B58">
        <v>3</v>
      </c>
      <c r="C58">
        <v>23</v>
      </c>
      <c r="D58" s="2">
        <v>42110.402013888888</v>
      </c>
      <c r="E58" t="s">
        <v>41</v>
      </c>
      <c r="F58">
        <v>150</v>
      </c>
      <c r="G58" s="3">
        <v>15</v>
      </c>
      <c r="H58">
        <v>0</v>
      </c>
      <c r="I58" t="s">
        <v>120</v>
      </c>
    </row>
    <row r="59" spans="1:13" x14ac:dyDescent="0.25">
      <c r="A59">
        <v>58</v>
      </c>
      <c r="B59">
        <v>3</v>
      </c>
      <c r="C59">
        <v>12</v>
      </c>
      <c r="D59" s="2">
        <v>42103.20758101852</v>
      </c>
      <c r="E59" t="s">
        <v>41</v>
      </c>
      <c r="F59">
        <v>270</v>
      </c>
      <c r="G59" s="3">
        <v>16</v>
      </c>
      <c r="H59">
        <v>1541</v>
      </c>
      <c r="I59" t="s">
        <v>121</v>
      </c>
      <c r="J59">
        <v>10</v>
      </c>
      <c r="K59">
        <v>16</v>
      </c>
      <c r="L59">
        <v>11</v>
      </c>
      <c r="M59">
        <v>5</v>
      </c>
    </row>
    <row r="60" spans="1:13" x14ac:dyDescent="0.25">
      <c r="A60">
        <v>59</v>
      </c>
      <c r="B60">
        <v>3</v>
      </c>
      <c r="C60">
        <v>7</v>
      </c>
      <c r="D60" s="2">
        <v>42109.439212962963</v>
      </c>
      <c r="E60" t="s">
        <v>41</v>
      </c>
      <c r="F60">
        <v>180</v>
      </c>
      <c r="G60" s="3">
        <v>17</v>
      </c>
      <c r="H60">
        <v>1523</v>
      </c>
      <c r="I60" t="s">
        <v>121</v>
      </c>
      <c r="J60">
        <v>12</v>
      </c>
      <c r="K60">
        <v>14</v>
      </c>
      <c r="L60">
        <v>9</v>
      </c>
      <c r="M60">
        <v>7</v>
      </c>
    </row>
    <row r="61" spans="1:13" x14ac:dyDescent="0.25">
      <c r="A61">
        <v>60</v>
      </c>
      <c r="B61">
        <v>3</v>
      </c>
      <c r="C61">
        <v>5</v>
      </c>
      <c r="D61" s="2">
        <v>42097.660937499997</v>
      </c>
      <c r="E61" t="s">
        <v>41</v>
      </c>
      <c r="F61">
        <v>90</v>
      </c>
      <c r="G61" s="3">
        <v>18</v>
      </c>
      <c r="H61">
        <v>1504</v>
      </c>
      <c r="I61" t="s">
        <v>121</v>
      </c>
      <c r="J61">
        <v>15</v>
      </c>
      <c r="K61">
        <v>11</v>
      </c>
      <c r="L61">
        <v>6</v>
      </c>
      <c r="M61">
        <v>10</v>
      </c>
    </row>
    <row r="62" spans="1:13" x14ac:dyDescent="0.25">
      <c r="A62">
        <v>61</v>
      </c>
      <c r="B62">
        <v>3</v>
      </c>
      <c r="C62">
        <v>24</v>
      </c>
      <c r="D62" s="2">
        <v>42104.642384259256</v>
      </c>
      <c r="E62" t="s">
        <v>41</v>
      </c>
      <c r="F62">
        <v>60</v>
      </c>
      <c r="G62" s="3">
        <v>19</v>
      </c>
      <c r="H62">
        <v>1486</v>
      </c>
      <c r="I62" t="s">
        <v>121</v>
      </c>
      <c r="J62">
        <v>16</v>
      </c>
      <c r="K62">
        <v>10</v>
      </c>
      <c r="L62">
        <v>5</v>
      </c>
      <c r="M62">
        <v>11</v>
      </c>
    </row>
    <row r="63" spans="1:13" x14ac:dyDescent="0.25">
      <c r="A63">
        <v>62</v>
      </c>
      <c r="B63">
        <v>3</v>
      </c>
      <c r="C63">
        <v>27</v>
      </c>
      <c r="D63" s="2">
        <v>42110.874699074076</v>
      </c>
      <c r="E63" t="s">
        <v>41</v>
      </c>
      <c r="F63">
        <v>270</v>
      </c>
      <c r="G63" s="3">
        <v>20</v>
      </c>
      <c r="H63">
        <v>1468</v>
      </c>
      <c r="I63" t="s">
        <v>121</v>
      </c>
      <c r="J63">
        <v>18</v>
      </c>
      <c r="K63">
        <v>19</v>
      </c>
      <c r="L63">
        <v>3</v>
      </c>
      <c r="M63">
        <v>2</v>
      </c>
    </row>
    <row r="64" spans="1:13" x14ac:dyDescent="0.25">
      <c r="A64">
        <v>63</v>
      </c>
      <c r="B64">
        <v>4</v>
      </c>
      <c r="C64">
        <v>8</v>
      </c>
      <c r="D64" s="2">
        <v>42112.732997685183</v>
      </c>
      <c r="E64" t="s">
        <v>41</v>
      </c>
      <c r="F64">
        <v>240</v>
      </c>
      <c r="G64" s="3">
        <v>1</v>
      </c>
      <c r="H64">
        <v>1903</v>
      </c>
      <c r="I64" t="s">
        <v>121</v>
      </c>
      <c r="J64">
        <v>9</v>
      </c>
      <c r="K64">
        <v>17</v>
      </c>
      <c r="L64">
        <v>12</v>
      </c>
      <c r="M64">
        <v>4</v>
      </c>
    </row>
    <row r="65" spans="1:13" x14ac:dyDescent="0.25">
      <c r="A65">
        <v>64</v>
      </c>
      <c r="B65">
        <v>4</v>
      </c>
      <c r="C65">
        <v>3</v>
      </c>
      <c r="D65" s="2">
        <v>42114.715324074074</v>
      </c>
      <c r="E65" t="s">
        <v>41</v>
      </c>
      <c r="F65">
        <v>180</v>
      </c>
      <c r="G65" s="3">
        <v>2</v>
      </c>
      <c r="H65">
        <v>1881</v>
      </c>
      <c r="I65" t="s">
        <v>121</v>
      </c>
      <c r="J65">
        <v>11</v>
      </c>
      <c r="K65">
        <v>15</v>
      </c>
      <c r="L65">
        <v>10</v>
      </c>
      <c r="M65">
        <v>6</v>
      </c>
    </row>
    <row r="66" spans="1:13" x14ac:dyDescent="0.25">
      <c r="A66">
        <v>65</v>
      </c>
      <c r="B66">
        <v>4</v>
      </c>
      <c r="C66">
        <v>12</v>
      </c>
      <c r="D66" s="2">
        <v>42116.947453703702</v>
      </c>
      <c r="E66" t="s">
        <v>41</v>
      </c>
      <c r="F66">
        <v>150</v>
      </c>
      <c r="G66" s="3">
        <v>3</v>
      </c>
      <c r="H66">
        <v>1859</v>
      </c>
      <c r="I66" t="s">
        <v>121</v>
      </c>
      <c r="J66">
        <v>13</v>
      </c>
      <c r="K66">
        <v>12</v>
      </c>
      <c r="L66">
        <v>8</v>
      </c>
      <c r="M66">
        <v>9</v>
      </c>
    </row>
    <row r="67" spans="1:13" x14ac:dyDescent="0.25">
      <c r="A67">
        <v>66</v>
      </c>
      <c r="B67">
        <v>4</v>
      </c>
      <c r="C67">
        <v>26</v>
      </c>
      <c r="D67" s="2">
        <v>42110.179780092592</v>
      </c>
      <c r="E67" t="s">
        <v>41</v>
      </c>
      <c r="F67">
        <v>30</v>
      </c>
      <c r="G67" s="3">
        <v>4</v>
      </c>
      <c r="H67">
        <v>1837</v>
      </c>
      <c r="I67" t="s">
        <v>121</v>
      </c>
      <c r="J67">
        <v>15</v>
      </c>
      <c r="K67">
        <v>9</v>
      </c>
      <c r="L67">
        <v>6</v>
      </c>
      <c r="M67">
        <v>12</v>
      </c>
    </row>
    <row r="68" spans="1:13" x14ac:dyDescent="0.25">
      <c r="A68">
        <v>67</v>
      </c>
      <c r="B68">
        <v>4</v>
      </c>
      <c r="C68">
        <v>21</v>
      </c>
      <c r="D68" s="2">
        <v>42114.411921296298</v>
      </c>
      <c r="E68" t="s">
        <v>41</v>
      </c>
      <c r="F68">
        <v>0</v>
      </c>
      <c r="G68" s="3">
        <v>5</v>
      </c>
      <c r="H68">
        <v>1815</v>
      </c>
      <c r="I68" t="s">
        <v>121</v>
      </c>
      <c r="J68">
        <v>17</v>
      </c>
      <c r="K68">
        <v>7</v>
      </c>
      <c r="L68">
        <v>4</v>
      </c>
      <c r="M68">
        <v>14</v>
      </c>
    </row>
    <row r="69" spans="1:13" x14ac:dyDescent="0.25">
      <c r="A69">
        <v>68</v>
      </c>
      <c r="B69">
        <v>4</v>
      </c>
      <c r="C69">
        <v>29</v>
      </c>
      <c r="D69" s="2">
        <v>42116.352581018517</v>
      </c>
      <c r="E69" t="s">
        <v>41</v>
      </c>
      <c r="F69">
        <v>180</v>
      </c>
      <c r="G69" s="3">
        <v>6</v>
      </c>
      <c r="H69">
        <v>0</v>
      </c>
      <c r="I69" t="s">
        <v>117</v>
      </c>
    </row>
    <row r="70" spans="1:13" x14ac:dyDescent="0.25">
      <c r="A70">
        <v>69</v>
      </c>
      <c r="B70">
        <v>4</v>
      </c>
      <c r="C70">
        <v>27</v>
      </c>
      <c r="D70" s="2">
        <v>42114.044861111113</v>
      </c>
      <c r="E70" t="s">
        <v>41</v>
      </c>
      <c r="F70">
        <v>240</v>
      </c>
      <c r="G70" s="3">
        <v>7</v>
      </c>
      <c r="H70">
        <v>1944</v>
      </c>
      <c r="I70" t="s">
        <v>121</v>
      </c>
      <c r="J70">
        <v>6</v>
      </c>
      <c r="K70">
        <v>13</v>
      </c>
      <c r="L70">
        <v>15</v>
      </c>
      <c r="M70">
        <v>8</v>
      </c>
    </row>
    <row r="71" spans="1:13" x14ac:dyDescent="0.25">
      <c r="A71">
        <v>70</v>
      </c>
      <c r="B71">
        <v>4</v>
      </c>
      <c r="C71">
        <v>7</v>
      </c>
      <c r="D71" s="2">
        <v>42114.97278935185</v>
      </c>
      <c r="E71" t="s">
        <v>41</v>
      </c>
      <c r="F71">
        <v>90</v>
      </c>
      <c r="G71" s="3">
        <v>8</v>
      </c>
      <c r="H71">
        <v>1909</v>
      </c>
      <c r="I71" t="s">
        <v>121</v>
      </c>
      <c r="J71">
        <v>8</v>
      </c>
      <c r="K71">
        <v>6</v>
      </c>
      <c r="L71">
        <v>13</v>
      </c>
      <c r="M71">
        <v>15</v>
      </c>
    </row>
    <row r="72" spans="1:13" x14ac:dyDescent="0.25">
      <c r="A72">
        <v>71</v>
      </c>
      <c r="B72">
        <v>4</v>
      </c>
      <c r="C72">
        <v>9</v>
      </c>
      <c r="D72" s="2">
        <v>42113.89984953704</v>
      </c>
      <c r="E72" t="s">
        <v>41</v>
      </c>
      <c r="F72">
        <v>300</v>
      </c>
      <c r="G72" s="3">
        <v>9</v>
      </c>
      <c r="H72">
        <v>1805</v>
      </c>
      <c r="I72" t="s">
        <v>121</v>
      </c>
      <c r="J72">
        <v>18</v>
      </c>
      <c r="K72">
        <v>20</v>
      </c>
      <c r="L72">
        <v>3</v>
      </c>
      <c r="M72">
        <v>1</v>
      </c>
    </row>
    <row r="73" spans="1:13" x14ac:dyDescent="0.25">
      <c r="A73">
        <v>72</v>
      </c>
      <c r="B73">
        <v>4</v>
      </c>
      <c r="C73">
        <v>24</v>
      </c>
      <c r="D73" s="2">
        <v>42115.82640046296</v>
      </c>
      <c r="E73" t="s">
        <v>41</v>
      </c>
      <c r="F73">
        <v>120</v>
      </c>
      <c r="G73" s="3">
        <v>10</v>
      </c>
      <c r="H73">
        <v>0</v>
      </c>
      <c r="I73" t="s">
        <v>117</v>
      </c>
    </row>
    <row r="74" spans="1:13" x14ac:dyDescent="0.25">
      <c r="A74">
        <v>73</v>
      </c>
      <c r="B74">
        <v>4</v>
      </c>
      <c r="C74">
        <v>28</v>
      </c>
      <c r="D74" s="2">
        <v>42117.983842592592</v>
      </c>
      <c r="E74" t="s">
        <v>41</v>
      </c>
      <c r="F74">
        <v>30</v>
      </c>
      <c r="G74" s="3">
        <v>11</v>
      </c>
      <c r="H74">
        <v>1877</v>
      </c>
      <c r="I74" t="s">
        <v>121</v>
      </c>
      <c r="J74">
        <v>12</v>
      </c>
      <c r="K74">
        <v>5</v>
      </c>
      <c r="L74">
        <v>9</v>
      </c>
      <c r="M74">
        <v>16</v>
      </c>
    </row>
    <row r="75" spans="1:13" x14ac:dyDescent="0.25">
      <c r="A75">
        <v>74</v>
      </c>
      <c r="B75">
        <v>4</v>
      </c>
      <c r="C75">
        <v>30</v>
      </c>
      <c r="D75" s="2">
        <v>42114.606689814813</v>
      </c>
      <c r="E75" t="s">
        <v>41</v>
      </c>
      <c r="F75">
        <v>90</v>
      </c>
      <c r="G75" s="3">
        <v>12</v>
      </c>
      <c r="H75">
        <v>0</v>
      </c>
      <c r="I75" t="s">
        <v>120</v>
      </c>
    </row>
    <row r="76" spans="1:13" x14ac:dyDescent="0.25">
      <c r="A76">
        <v>75</v>
      </c>
      <c r="B76">
        <v>4</v>
      </c>
      <c r="C76">
        <v>17</v>
      </c>
      <c r="D76" s="2">
        <v>42117.476909722223</v>
      </c>
      <c r="E76" t="s">
        <v>41</v>
      </c>
      <c r="F76">
        <v>150</v>
      </c>
      <c r="G76" s="3">
        <v>13</v>
      </c>
      <c r="H76">
        <v>1946</v>
      </c>
      <c r="I76" t="s">
        <v>121</v>
      </c>
      <c r="J76">
        <v>5</v>
      </c>
      <c r="K76">
        <v>10</v>
      </c>
      <c r="L76">
        <v>16</v>
      </c>
      <c r="M76">
        <v>11</v>
      </c>
    </row>
    <row r="77" spans="1:13" x14ac:dyDescent="0.25">
      <c r="A77">
        <v>76</v>
      </c>
      <c r="B77">
        <v>4</v>
      </c>
      <c r="C77">
        <v>23</v>
      </c>
      <c r="D77" s="2">
        <v>42113.085196759261</v>
      </c>
      <c r="E77" t="s">
        <v>41</v>
      </c>
      <c r="F77">
        <v>120</v>
      </c>
      <c r="G77" s="3">
        <v>14</v>
      </c>
      <c r="H77">
        <v>0</v>
      </c>
      <c r="I77" t="s">
        <v>120</v>
      </c>
    </row>
    <row r="78" spans="1:13" x14ac:dyDescent="0.25">
      <c r="A78">
        <v>77</v>
      </c>
      <c r="B78">
        <v>4</v>
      </c>
      <c r="C78">
        <v>16</v>
      </c>
      <c r="D78" s="2">
        <v>42114.790717592594</v>
      </c>
      <c r="E78" t="s">
        <v>41</v>
      </c>
      <c r="F78">
        <v>180</v>
      </c>
      <c r="G78" s="3">
        <v>15</v>
      </c>
      <c r="H78">
        <v>0</v>
      </c>
      <c r="I78" t="s">
        <v>117</v>
      </c>
    </row>
    <row r="79" spans="1:13" x14ac:dyDescent="0.25">
      <c r="A79">
        <v>78</v>
      </c>
      <c r="B79">
        <v>4</v>
      </c>
      <c r="C79">
        <v>5</v>
      </c>
      <c r="D79" s="2">
        <v>42113.919664351852</v>
      </c>
      <c r="E79" t="s">
        <v>41</v>
      </c>
      <c r="F79">
        <v>270</v>
      </c>
      <c r="G79" s="3">
        <v>16</v>
      </c>
      <c r="H79">
        <v>1957</v>
      </c>
      <c r="I79" t="s">
        <v>121</v>
      </c>
      <c r="J79">
        <v>3</v>
      </c>
      <c r="K79">
        <v>16</v>
      </c>
      <c r="L79">
        <v>18</v>
      </c>
      <c r="M79">
        <v>5</v>
      </c>
    </row>
    <row r="80" spans="1:13" x14ac:dyDescent="0.25">
      <c r="A80">
        <v>79</v>
      </c>
      <c r="B80">
        <v>4</v>
      </c>
      <c r="C80">
        <v>1</v>
      </c>
      <c r="D80" s="2">
        <v>42112.555046296293</v>
      </c>
      <c r="E80" t="s">
        <v>41</v>
      </c>
      <c r="F80">
        <v>30</v>
      </c>
      <c r="G80" s="3">
        <v>17</v>
      </c>
      <c r="H80">
        <v>1935</v>
      </c>
      <c r="I80" t="s">
        <v>121</v>
      </c>
      <c r="J80">
        <v>7</v>
      </c>
      <c r="K80">
        <v>3</v>
      </c>
      <c r="L80">
        <v>14</v>
      </c>
      <c r="M80">
        <v>18</v>
      </c>
    </row>
    <row r="81" spans="1:13" x14ac:dyDescent="0.25">
      <c r="A81">
        <v>80</v>
      </c>
      <c r="B81">
        <v>4</v>
      </c>
      <c r="C81">
        <v>4</v>
      </c>
      <c r="D81" s="2">
        <v>42114.78806712963</v>
      </c>
      <c r="E81" t="s">
        <v>41</v>
      </c>
      <c r="F81">
        <v>0</v>
      </c>
      <c r="G81" s="3">
        <v>18</v>
      </c>
      <c r="H81">
        <v>0</v>
      </c>
      <c r="I81" t="s">
        <v>117</v>
      </c>
    </row>
    <row r="82" spans="1:13" x14ac:dyDescent="0.25">
      <c r="A82">
        <v>81</v>
      </c>
      <c r="B82">
        <v>4</v>
      </c>
      <c r="C82">
        <v>25</v>
      </c>
      <c r="D82" s="2">
        <v>42113.82640046296</v>
      </c>
      <c r="E82" t="s">
        <v>41</v>
      </c>
      <c r="F82">
        <v>120</v>
      </c>
      <c r="G82" s="3">
        <v>19</v>
      </c>
      <c r="H82">
        <v>0</v>
      </c>
      <c r="I82" t="s">
        <v>120</v>
      </c>
    </row>
    <row r="83" spans="1:13" x14ac:dyDescent="0.25">
      <c r="A83">
        <v>82</v>
      </c>
      <c r="B83">
        <v>4</v>
      </c>
      <c r="C83">
        <v>13</v>
      </c>
      <c r="D83" s="2">
        <v>42117.613252314812</v>
      </c>
      <c r="E83" t="s">
        <v>41</v>
      </c>
      <c r="F83">
        <v>60</v>
      </c>
      <c r="G83" s="3">
        <v>20</v>
      </c>
      <c r="H83">
        <v>0</v>
      </c>
      <c r="I83" t="s">
        <v>120</v>
      </c>
    </row>
    <row r="84" spans="1:13" x14ac:dyDescent="0.25">
      <c r="A84">
        <v>83</v>
      </c>
      <c r="B84">
        <v>4</v>
      </c>
      <c r="C84">
        <v>15</v>
      </c>
      <c r="D84" s="2">
        <v>42114.564328703702</v>
      </c>
      <c r="E84" t="s">
        <v>41</v>
      </c>
      <c r="F84">
        <v>90</v>
      </c>
      <c r="G84" s="3">
        <v>21</v>
      </c>
      <c r="H84">
        <v>1946</v>
      </c>
      <c r="I84" t="s">
        <v>121</v>
      </c>
      <c r="J84">
        <v>5</v>
      </c>
      <c r="K84">
        <v>4</v>
      </c>
      <c r="L84">
        <v>16</v>
      </c>
      <c r="M84">
        <v>17</v>
      </c>
    </row>
    <row r="85" spans="1:13" x14ac:dyDescent="0.25">
      <c r="A85">
        <v>84</v>
      </c>
      <c r="B85">
        <v>4</v>
      </c>
      <c r="C85">
        <v>2</v>
      </c>
      <c r="D85" s="2">
        <v>42113.186493055553</v>
      </c>
      <c r="E85" t="s">
        <v>41</v>
      </c>
      <c r="F85">
        <v>180</v>
      </c>
      <c r="G85" s="3">
        <v>22</v>
      </c>
      <c r="H85">
        <v>1830</v>
      </c>
      <c r="I85" t="s">
        <v>121</v>
      </c>
      <c r="J85">
        <v>16</v>
      </c>
      <c r="K85">
        <v>18</v>
      </c>
      <c r="L85">
        <v>5</v>
      </c>
      <c r="M85">
        <v>3</v>
      </c>
    </row>
    <row r="86" spans="1:13" x14ac:dyDescent="0.25">
      <c r="A86">
        <v>85</v>
      </c>
      <c r="B86">
        <v>4</v>
      </c>
      <c r="C86">
        <v>10</v>
      </c>
      <c r="D86" s="2">
        <v>42110.778784722221</v>
      </c>
      <c r="E86" t="s">
        <v>41</v>
      </c>
      <c r="F86">
        <v>270</v>
      </c>
      <c r="G86" s="3">
        <v>23</v>
      </c>
      <c r="H86">
        <v>1902</v>
      </c>
      <c r="I86" t="s">
        <v>121</v>
      </c>
      <c r="J86">
        <v>10</v>
      </c>
      <c r="K86">
        <v>19</v>
      </c>
      <c r="L86">
        <v>11</v>
      </c>
      <c r="M86">
        <v>2</v>
      </c>
    </row>
    <row r="87" spans="1:13" x14ac:dyDescent="0.25">
      <c r="A87">
        <v>86</v>
      </c>
      <c r="B87">
        <v>4</v>
      </c>
      <c r="C87">
        <v>18</v>
      </c>
      <c r="D87" s="2">
        <v>42117.650949074072</v>
      </c>
      <c r="E87" t="s">
        <v>41</v>
      </c>
      <c r="F87">
        <v>30</v>
      </c>
      <c r="G87" s="3">
        <v>24</v>
      </c>
      <c r="H87">
        <v>1786</v>
      </c>
      <c r="I87" t="s">
        <v>121</v>
      </c>
      <c r="J87">
        <v>19</v>
      </c>
      <c r="K87">
        <v>11</v>
      </c>
      <c r="L87">
        <v>2</v>
      </c>
      <c r="M87">
        <v>10</v>
      </c>
    </row>
    <row r="88" spans="1:13" x14ac:dyDescent="0.25">
      <c r="A88">
        <v>87</v>
      </c>
      <c r="B88">
        <v>4</v>
      </c>
      <c r="C88">
        <v>14</v>
      </c>
      <c r="D88" s="2">
        <v>42114.232141203705</v>
      </c>
      <c r="E88" t="s">
        <v>41</v>
      </c>
      <c r="F88">
        <v>90</v>
      </c>
      <c r="G88" s="3">
        <v>25</v>
      </c>
      <c r="H88">
        <v>0</v>
      </c>
      <c r="I88" t="s">
        <v>120</v>
      </c>
    </row>
    <row r="89" spans="1:13" x14ac:dyDescent="0.25">
      <c r="A89">
        <v>88</v>
      </c>
      <c r="B89">
        <v>4</v>
      </c>
      <c r="C89">
        <v>20</v>
      </c>
      <c r="D89" s="2">
        <v>42114.492893518516</v>
      </c>
      <c r="E89" t="s">
        <v>41</v>
      </c>
      <c r="F89">
        <v>60</v>
      </c>
      <c r="G89" s="3">
        <v>26</v>
      </c>
      <c r="H89">
        <v>1761</v>
      </c>
      <c r="I89" t="s">
        <v>121</v>
      </c>
      <c r="J89">
        <v>20</v>
      </c>
      <c r="K89">
        <v>15</v>
      </c>
      <c r="L89">
        <v>1</v>
      </c>
      <c r="M89">
        <v>6</v>
      </c>
    </row>
    <row r="90" spans="1:13" x14ac:dyDescent="0.25">
      <c r="A90">
        <v>89</v>
      </c>
      <c r="B90">
        <v>4</v>
      </c>
      <c r="C90">
        <v>11</v>
      </c>
      <c r="D90" s="2">
        <v>42111.351180555554</v>
      </c>
      <c r="E90" t="s">
        <v>41</v>
      </c>
      <c r="F90">
        <v>30</v>
      </c>
      <c r="G90" s="3">
        <v>27</v>
      </c>
      <c r="H90">
        <v>1840</v>
      </c>
      <c r="I90" t="s">
        <v>121</v>
      </c>
      <c r="J90">
        <v>14</v>
      </c>
      <c r="K90">
        <v>8</v>
      </c>
      <c r="L90">
        <v>7</v>
      </c>
      <c r="M90">
        <v>13</v>
      </c>
    </row>
    <row r="91" spans="1:13" x14ac:dyDescent="0.25">
      <c r="A91">
        <v>90</v>
      </c>
      <c r="B91">
        <v>5</v>
      </c>
      <c r="C91">
        <v>14</v>
      </c>
      <c r="D91" s="2">
        <v>42117.279120370367</v>
      </c>
      <c r="E91" t="s">
        <v>41</v>
      </c>
      <c r="F91">
        <v>180</v>
      </c>
      <c r="G91" s="3">
        <v>1</v>
      </c>
      <c r="H91">
        <v>1631</v>
      </c>
      <c r="I91" t="s">
        <v>121</v>
      </c>
      <c r="J91">
        <v>12</v>
      </c>
      <c r="K91">
        <v>18</v>
      </c>
      <c r="L91">
        <v>9</v>
      </c>
      <c r="M91">
        <v>3</v>
      </c>
    </row>
    <row r="92" spans="1:13" x14ac:dyDescent="0.25">
      <c r="A92">
        <v>91</v>
      </c>
      <c r="B92">
        <v>5</v>
      </c>
      <c r="C92">
        <v>3</v>
      </c>
      <c r="D92" s="2">
        <v>42119.897824074076</v>
      </c>
      <c r="E92" t="s">
        <v>41</v>
      </c>
      <c r="F92">
        <v>180</v>
      </c>
      <c r="G92" s="3">
        <v>2</v>
      </c>
      <c r="H92">
        <v>1703</v>
      </c>
      <c r="I92" t="s">
        <v>121</v>
      </c>
      <c r="J92">
        <v>5</v>
      </c>
      <c r="K92">
        <v>13</v>
      </c>
      <c r="L92">
        <v>16</v>
      </c>
      <c r="M92">
        <v>8</v>
      </c>
    </row>
    <row r="93" spans="1:13" x14ac:dyDescent="0.25">
      <c r="A93">
        <v>92</v>
      </c>
      <c r="B93">
        <v>5</v>
      </c>
      <c r="C93">
        <v>15</v>
      </c>
      <c r="D93" s="2">
        <v>42124.797280092593</v>
      </c>
      <c r="E93" t="s">
        <v>41</v>
      </c>
      <c r="F93">
        <v>150</v>
      </c>
      <c r="G93" s="3">
        <v>3</v>
      </c>
      <c r="H93">
        <v>1604</v>
      </c>
      <c r="I93" t="s">
        <v>121</v>
      </c>
      <c r="J93">
        <v>15</v>
      </c>
      <c r="K93">
        <v>17</v>
      </c>
      <c r="L93">
        <v>6</v>
      </c>
      <c r="M93">
        <v>4</v>
      </c>
    </row>
    <row r="94" spans="1:13" x14ac:dyDescent="0.25">
      <c r="A94">
        <v>93</v>
      </c>
      <c r="B94">
        <v>5</v>
      </c>
      <c r="C94">
        <v>2</v>
      </c>
      <c r="D94" s="2">
        <v>42118.447233796294</v>
      </c>
      <c r="E94" t="s">
        <v>41</v>
      </c>
      <c r="F94">
        <v>120</v>
      </c>
      <c r="G94" s="3">
        <v>4</v>
      </c>
      <c r="H94">
        <v>1736</v>
      </c>
      <c r="I94" t="s">
        <v>121</v>
      </c>
      <c r="J94">
        <v>3</v>
      </c>
      <c r="K94">
        <v>4</v>
      </c>
      <c r="L94">
        <v>18</v>
      </c>
      <c r="M94">
        <v>17</v>
      </c>
    </row>
    <row r="95" spans="1:13" x14ac:dyDescent="0.25">
      <c r="A95">
        <v>94</v>
      </c>
      <c r="B95">
        <v>5</v>
      </c>
      <c r="C95">
        <v>10</v>
      </c>
      <c r="D95" s="2">
        <v>42122.306226851855</v>
      </c>
      <c r="E95" t="s">
        <v>41</v>
      </c>
      <c r="F95">
        <v>90</v>
      </c>
      <c r="G95" s="3">
        <v>5</v>
      </c>
      <c r="H95">
        <v>0</v>
      </c>
      <c r="I95" t="s">
        <v>120</v>
      </c>
    </row>
    <row r="96" spans="1:13" x14ac:dyDescent="0.25">
      <c r="A96">
        <v>95</v>
      </c>
      <c r="B96">
        <v>5</v>
      </c>
      <c r="C96">
        <v>13</v>
      </c>
      <c r="D96" s="2">
        <v>42120.007777777777</v>
      </c>
      <c r="E96" t="s">
        <v>41</v>
      </c>
      <c r="F96">
        <v>30</v>
      </c>
      <c r="G96" s="3">
        <v>6</v>
      </c>
      <c r="H96">
        <v>1738</v>
      </c>
      <c r="I96" t="s">
        <v>121</v>
      </c>
      <c r="J96">
        <v>2</v>
      </c>
      <c r="L96">
        <v>19</v>
      </c>
      <c r="M96">
        <v>22</v>
      </c>
    </row>
    <row r="97" spans="1:13" x14ac:dyDescent="0.25">
      <c r="A97">
        <v>96</v>
      </c>
      <c r="B97">
        <v>5</v>
      </c>
      <c r="C97">
        <v>17</v>
      </c>
      <c r="D97" s="2">
        <v>42124.576249999998</v>
      </c>
      <c r="E97" t="s">
        <v>41</v>
      </c>
      <c r="F97">
        <v>30</v>
      </c>
      <c r="G97" s="3">
        <v>7</v>
      </c>
      <c r="H97">
        <v>1560</v>
      </c>
      <c r="I97" t="s">
        <v>121</v>
      </c>
      <c r="J97">
        <v>18</v>
      </c>
      <c r="K97">
        <v>12</v>
      </c>
      <c r="L97">
        <v>3</v>
      </c>
      <c r="M97">
        <v>9</v>
      </c>
    </row>
    <row r="98" spans="1:13" x14ac:dyDescent="0.25">
      <c r="A98">
        <v>97</v>
      </c>
      <c r="B98">
        <v>5</v>
      </c>
      <c r="C98">
        <v>24</v>
      </c>
      <c r="D98" s="2">
        <v>42121.86277777778</v>
      </c>
      <c r="E98" t="s">
        <v>41</v>
      </c>
      <c r="F98">
        <v>0</v>
      </c>
      <c r="G98" s="3">
        <v>8</v>
      </c>
      <c r="H98">
        <v>1552</v>
      </c>
      <c r="I98" t="s">
        <v>121</v>
      </c>
      <c r="J98">
        <v>19</v>
      </c>
      <c r="K98">
        <v>10</v>
      </c>
      <c r="L98">
        <v>2</v>
      </c>
      <c r="M98">
        <v>11</v>
      </c>
    </row>
    <row r="99" spans="1:13" x14ac:dyDescent="0.25">
      <c r="A99">
        <v>98</v>
      </c>
      <c r="B99">
        <v>5</v>
      </c>
      <c r="C99">
        <v>27</v>
      </c>
      <c r="D99" s="2">
        <v>42118.388194444444</v>
      </c>
      <c r="E99" t="s">
        <v>41</v>
      </c>
      <c r="F99">
        <v>60</v>
      </c>
      <c r="G99" s="3">
        <v>9</v>
      </c>
      <c r="H99">
        <v>1605</v>
      </c>
      <c r="I99" t="s">
        <v>121</v>
      </c>
      <c r="J99">
        <v>14</v>
      </c>
      <c r="K99">
        <v>11</v>
      </c>
      <c r="L99">
        <v>7</v>
      </c>
      <c r="M99">
        <v>10</v>
      </c>
    </row>
    <row r="100" spans="1:13" x14ac:dyDescent="0.25">
      <c r="A100">
        <v>99</v>
      </c>
      <c r="B100">
        <v>5</v>
      </c>
      <c r="C100">
        <v>4</v>
      </c>
      <c r="D100" s="2">
        <v>42120.676099537035</v>
      </c>
      <c r="E100" t="s">
        <v>41</v>
      </c>
      <c r="F100">
        <v>30</v>
      </c>
      <c r="G100" s="3">
        <v>10</v>
      </c>
      <c r="H100">
        <v>1659</v>
      </c>
      <c r="I100" t="s">
        <v>121</v>
      </c>
      <c r="J100">
        <v>7</v>
      </c>
      <c r="K100">
        <v>1</v>
      </c>
      <c r="L100">
        <v>14</v>
      </c>
      <c r="M100">
        <v>20</v>
      </c>
    </row>
    <row r="101" spans="1:13" x14ac:dyDescent="0.25">
      <c r="A101">
        <v>100</v>
      </c>
      <c r="B101">
        <v>5</v>
      </c>
      <c r="C101">
        <v>18</v>
      </c>
      <c r="D101" s="2">
        <v>42117.212812500002</v>
      </c>
      <c r="E101" t="s">
        <v>41</v>
      </c>
      <c r="F101">
        <v>30</v>
      </c>
      <c r="G101" s="3">
        <v>11</v>
      </c>
      <c r="H101">
        <v>1651</v>
      </c>
      <c r="I101" t="s">
        <v>121</v>
      </c>
      <c r="J101">
        <v>9</v>
      </c>
      <c r="K101">
        <v>3</v>
      </c>
      <c r="L101">
        <v>12</v>
      </c>
      <c r="M101">
        <v>18</v>
      </c>
    </row>
    <row r="102" spans="1:13" x14ac:dyDescent="0.25">
      <c r="A102">
        <v>101</v>
      </c>
      <c r="B102">
        <v>5</v>
      </c>
      <c r="C102">
        <v>26</v>
      </c>
      <c r="D102" s="2">
        <v>42121.530590277776</v>
      </c>
      <c r="E102" t="s">
        <v>41</v>
      </c>
      <c r="F102">
        <v>90</v>
      </c>
      <c r="G102" s="3">
        <v>12</v>
      </c>
      <c r="H102">
        <v>1704</v>
      </c>
      <c r="I102" t="s">
        <v>121</v>
      </c>
      <c r="J102">
        <v>4</v>
      </c>
      <c r="K102">
        <v>5</v>
      </c>
      <c r="L102">
        <v>17</v>
      </c>
      <c r="M102">
        <v>16</v>
      </c>
    </row>
    <row r="103" spans="1:13" x14ac:dyDescent="0.25">
      <c r="A103">
        <v>102</v>
      </c>
      <c r="B103">
        <v>5</v>
      </c>
      <c r="C103">
        <v>22</v>
      </c>
      <c r="D103" s="2">
        <v>42118.067812499998</v>
      </c>
      <c r="E103" t="s">
        <v>41</v>
      </c>
      <c r="F103">
        <v>60</v>
      </c>
      <c r="G103" s="3">
        <v>13</v>
      </c>
      <c r="H103">
        <v>1758</v>
      </c>
      <c r="I103" t="s">
        <v>121</v>
      </c>
      <c r="L103">
        <v>22</v>
      </c>
      <c r="M103">
        <v>21</v>
      </c>
    </row>
    <row r="104" spans="1:13" x14ac:dyDescent="0.25">
      <c r="A104">
        <v>103</v>
      </c>
      <c r="B104">
        <v>5</v>
      </c>
      <c r="C104">
        <v>16</v>
      </c>
      <c r="D104" s="2">
        <v>42122.343229166669</v>
      </c>
      <c r="E104" t="s">
        <v>41</v>
      </c>
      <c r="F104">
        <v>60</v>
      </c>
      <c r="G104" s="3">
        <v>14</v>
      </c>
      <c r="H104">
        <v>0</v>
      </c>
      <c r="I104" t="s">
        <v>117</v>
      </c>
    </row>
    <row r="105" spans="1:13" x14ac:dyDescent="0.25">
      <c r="A105">
        <v>104</v>
      </c>
      <c r="B105">
        <v>5</v>
      </c>
      <c r="C105">
        <v>19</v>
      </c>
      <c r="D105" s="2">
        <v>42117.137928240743</v>
      </c>
      <c r="E105" t="s">
        <v>41</v>
      </c>
      <c r="F105">
        <v>30</v>
      </c>
      <c r="G105" s="3">
        <v>15</v>
      </c>
      <c r="H105">
        <v>1596</v>
      </c>
      <c r="I105" t="s">
        <v>121</v>
      </c>
      <c r="J105">
        <v>16</v>
      </c>
      <c r="K105">
        <v>9</v>
      </c>
      <c r="L105">
        <v>5</v>
      </c>
      <c r="M105">
        <v>12</v>
      </c>
    </row>
    <row r="106" spans="1:13" x14ac:dyDescent="0.25">
      <c r="A106">
        <v>105</v>
      </c>
      <c r="B106">
        <v>5</v>
      </c>
      <c r="C106">
        <v>28</v>
      </c>
      <c r="D106" s="2">
        <v>42119.15011574074</v>
      </c>
      <c r="E106" t="s">
        <v>41</v>
      </c>
      <c r="F106">
        <v>240</v>
      </c>
      <c r="G106" s="3">
        <v>16</v>
      </c>
      <c r="H106">
        <v>1576</v>
      </c>
      <c r="I106" t="s">
        <v>121</v>
      </c>
      <c r="J106">
        <v>17</v>
      </c>
      <c r="K106">
        <v>20</v>
      </c>
      <c r="L106">
        <v>4</v>
      </c>
      <c r="M106">
        <v>1</v>
      </c>
    </row>
    <row r="107" spans="1:13" x14ac:dyDescent="0.25">
      <c r="A107">
        <v>106</v>
      </c>
      <c r="B107">
        <v>5</v>
      </c>
      <c r="C107">
        <v>6</v>
      </c>
      <c r="D107" s="2">
        <v>42121.340578703705</v>
      </c>
      <c r="E107" t="s">
        <v>41</v>
      </c>
      <c r="F107">
        <v>180</v>
      </c>
      <c r="G107" s="3">
        <v>17</v>
      </c>
      <c r="H107">
        <v>0</v>
      </c>
      <c r="I107" t="s">
        <v>117</v>
      </c>
    </row>
    <row r="108" spans="1:13" x14ac:dyDescent="0.25">
      <c r="A108">
        <v>107</v>
      </c>
      <c r="B108">
        <v>5</v>
      </c>
      <c r="C108">
        <v>21</v>
      </c>
      <c r="D108" s="2">
        <v>42119.044849537036</v>
      </c>
      <c r="E108" t="s">
        <v>41</v>
      </c>
      <c r="F108">
        <v>240</v>
      </c>
      <c r="G108" s="3">
        <v>18</v>
      </c>
      <c r="H108">
        <v>1739</v>
      </c>
      <c r="I108" t="s">
        <v>121</v>
      </c>
      <c r="J108">
        <v>1</v>
      </c>
      <c r="K108">
        <v>15</v>
      </c>
      <c r="L108">
        <v>20</v>
      </c>
      <c r="M108">
        <v>6</v>
      </c>
    </row>
    <row r="109" spans="1:13" x14ac:dyDescent="0.25">
      <c r="A109">
        <v>108</v>
      </c>
      <c r="B109">
        <v>5</v>
      </c>
      <c r="C109">
        <v>9</v>
      </c>
      <c r="D109" s="2">
        <v>42120.927418981482</v>
      </c>
      <c r="E109" t="s">
        <v>41</v>
      </c>
      <c r="F109">
        <v>60</v>
      </c>
      <c r="G109" s="3">
        <v>19</v>
      </c>
      <c r="H109">
        <v>1646</v>
      </c>
      <c r="I109" t="s">
        <v>121</v>
      </c>
      <c r="J109">
        <v>10</v>
      </c>
      <c r="K109">
        <v>7</v>
      </c>
      <c r="L109">
        <v>11</v>
      </c>
      <c r="M109">
        <v>14</v>
      </c>
    </row>
    <row r="110" spans="1:13" x14ac:dyDescent="0.25">
      <c r="A110">
        <v>109</v>
      </c>
      <c r="B110">
        <v>5</v>
      </c>
      <c r="C110">
        <v>25</v>
      </c>
      <c r="D110" s="2">
        <v>42120.813692129632</v>
      </c>
      <c r="E110" t="s">
        <v>41</v>
      </c>
      <c r="F110">
        <v>270</v>
      </c>
      <c r="G110" s="3">
        <v>20</v>
      </c>
      <c r="H110">
        <v>1615</v>
      </c>
      <c r="I110" t="s">
        <v>121</v>
      </c>
      <c r="J110">
        <v>13</v>
      </c>
      <c r="K110">
        <v>19</v>
      </c>
      <c r="L110">
        <v>8</v>
      </c>
      <c r="M110">
        <v>2</v>
      </c>
    </row>
    <row r="111" spans="1:13" x14ac:dyDescent="0.25">
      <c r="A111">
        <v>110</v>
      </c>
      <c r="B111">
        <v>5</v>
      </c>
      <c r="C111">
        <v>31</v>
      </c>
      <c r="D111" s="2">
        <v>42119.740937499999</v>
      </c>
      <c r="E111" t="s">
        <v>41</v>
      </c>
      <c r="F111">
        <v>120</v>
      </c>
      <c r="G111" s="3">
        <v>21</v>
      </c>
      <c r="H111">
        <v>0</v>
      </c>
      <c r="I111" t="s">
        <v>120</v>
      </c>
    </row>
    <row r="112" spans="1:13" x14ac:dyDescent="0.25">
      <c r="A112">
        <v>111</v>
      </c>
      <c r="B112">
        <v>5</v>
      </c>
      <c r="C112">
        <v>23</v>
      </c>
      <c r="D112" s="2">
        <v>42124.527094907404</v>
      </c>
      <c r="E112" t="s">
        <v>41</v>
      </c>
      <c r="F112">
        <v>30</v>
      </c>
      <c r="G112" s="3">
        <v>22</v>
      </c>
      <c r="H112">
        <v>1658</v>
      </c>
      <c r="I112" t="s">
        <v>121</v>
      </c>
      <c r="J112">
        <v>8</v>
      </c>
      <c r="K112">
        <v>2</v>
      </c>
      <c r="L112">
        <v>13</v>
      </c>
      <c r="M112">
        <v>19</v>
      </c>
    </row>
    <row r="113" spans="1:13" x14ac:dyDescent="0.25">
      <c r="A113">
        <v>112</v>
      </c>
      <c r="B113">
        <v>5</v>
      </c>
      <c r="C113">
        <v>29</v>
      </c>
      <c r="D113" s="2">
        <v>42121.482141203705</v>
      </c>
      <c r="E113" t="s">
        <v>41</v>
      </c>
      <c r="F113">
        <v>30</v>
      </c>
      <c r="G113" s="3">
        <v>23</v>
      </c>
      <c r="H113">
        <v>1632</v>
      </c>
      <c r="I113" t="s">
        <v>121</v>
      </c>
      <c r="J113">
        <v>11</v>
      </c>
      <c r="K113">
        <v>6</v>
      </c>
      <c r="L113">
        <v>10</v>
      </c>
      <c r="M113">
        <v>15</v>
      </c>
    </row>
    <row r="114" spans="1:13" x14ac:dyDescent="0.25">
      <c r="A114">
        <v>113</v>
      </c>
      <c r="B114">
        <v>5</v>
      </c>
      <c r="C114">
        <v>7</v>
      </c>
      <c r="D114" s="2">
        <v>42117.437175925923</v>
      </c>
      <c r="E114" t="s">
        <v>41</v>
      </c>
      <c r="F114">
        <v>90</v>
      </c>
      <c r="G114" s="3">
        <v>24</v>
      </c>
      <c r="H114">
        <v>1545</v>
      </c>
      <c r="I114" t="s">
        <v>121</v>
      </c>
      <c r="J114">
        <v>20</v>
      </c>
      <c r="K114">
        <v>16</v>
      </c>
      <c r="L114">
        <v>1</v>
      </c>
      <c r="M114">
        <v>5</v>
      </c>
    </row>
    <row r="115" spans="1:13" x14ac:dyDescent="0.25">
      <c r="A115">
        <v>114</v>
      </c>
      <c r="B115">
        <v>5</v>
      </c>
      <c r="C115">
        <v>1</v>
      </c>
      <c r="D115" s="2">
        <v>42122.600543981483</v>
      </c>
      <c r="E115" t="s">
        <v>41</v>
      </c>
      <c r="F115">
        <v>180</v>
      </c>
      <c r="G115" s="3">
        <v>25</v>
      </c>
      <c r="H115">
        <v>1751</v>
      </c>
      <c r="I115" t="s">
        <v>121</v>
      </c>
      <c r="K115">
        <v>8</v>
      </c>
      <c r="L115">
        <v>21</v>
      </c>
      <c r="M115">
        <v>13</v>
      </c>
    </row>
    <row r="116" spans="1:13" x14ac:dyDescent="0.25">
      <c r="A116">
        <v>115</v>
      </c>
      <c r="B116">
        <v>5</v>
      </c>
      <c r="C116">
        <v>8</v>
      </c>
      <c r="D116" s="2">
        <v>42121.554895833331</v>
      </c>
      <c r="E116" t="s">
        <v>41</v>
      </c>
      <c r="F116">
        <v>150</v>
      </c>
      <c r="G116" s="3">
        <v>26</v>
      </c>
      <c r="H116">
        <v>1663</v>
      </c>
      <c r="I116" t="s">
        <v>121</v>
      </c>
      <c r="J116">
        <v>6</v>
      </c>
      <c r="K116">
        <v>14</v>
      </c>
      <c r="L116">
        <v>15</v>
      </c>
      <c r="M116">
        <v>7</v>
      </c>
    </row>
    <row r="117" spans="1:13" x14ac:dyDescent="0.25">
      <c r="A117">
        <v>116</v>
      </c>
      <c r="B117">
        <v>6</v>
      </c>
      <c r="C117">
        <v>6</v>
      </c>
      <c r="D117" s="2">
        <v>42130.828888888886</v>
      </c>
      <c r="E117" t="s">
        <v>41</v>
      </c>
      <c r="F117">
        <v>120</v>
      </c>
      <c r="G117" s="3">
        <v>1</v>
      </c>
      <c r="H117">
        <v>1996</v>
      </c>
      <c r="I117" t="s">
        <v>121</v>
      </c>
      <c r="J117">
        <v>7</v>
      </c>
      <c r="K117">
        <v>10</v>
      </c>
      <c r="L117">
        <v>14</v>
      </c>
      <c r="M117">
        <v>11</v>
      </c>
    </row>
    <row r="118" spans="1:13" x14ac:dyDescent="0.25">
      <c r="A118">
        <v>117</v>
      </c>
      <c r="B118">
        <v>6</v>
      </c>
      <c r="C118">
        <v>22</v>
      </c>
      <c r="D118" s="2">
        <v>42127.742256944446</v>
      </c>
      <c r="E118" t="s">
        <v>41</v>
      </c>
      <c r="F118">
        <v>180</v>
      </c>
      <c r="G118" s="3">
        <v>2</v>
      </c>
      <c r="H118">
        <v>1964</v>
      </c>
      <c r="I118" t="s">
        <v>121</v>
      </c>
      <c r="J118">
        <v>11</v>
      </c>
      <c r="K118">
        <v>15</v>
      </c>
      <c r="L118">
        <v>10</v>
      </c>
      <c r="M118">
        <v>6</v>
      </c>
    </row>
    <row r="119" spans="1:13" x14ac:dyDescent="0.25">
      <c r="A119">
        <v>118</v>
      </c>
      <c r="B119">
        <v>6</v>
      </c>
      <c r="C119">
        <v>15</v>
      </c>
      <c r="D119" s="2">
        <v>42124.696597222224</v>
      </c>
      <c r="E119" t="s">
        <v>41</v>
      </c>
      <c r="F119">
        <v>180</v>
      </c>
      <c r="G119" s="3">
        <v>3</v>
      </c>
      <c r="H119">
        <v>1933</v>
      </c>
      <c r="I119" t="s">
        <v>121</v>
      </c>
      <c r="J119">
        <v>14</v>
      </c>
      <c r="K119">
        <v>16</v>
      </c>
      <c r="L119">
        <v>7</v>
      </c>
      <c r="M119">
        <v>5</v>
      </c>
    </row>
    <row r="120" spans="1:13" x14ac:dyDescent="0.25">
      <c r="A120">
        <v>119</v>
      </c>
      <c r="B120">
        <v>6</v>
      </c>
      <c r="C120">
        <v>2</v>
      </c>
      <c r="D120" s="2">
        <v>42128.901643518519</v>
      </c>
      <c r="E120" t="s">
        <v>41</v>
      </c>
      <c r="F120">
        <v>270</v>
      </c>
      <c r="G120" s="3">
        <v>4</v>
      </c>
      <c r="H120">
        <v>0</v>
      </c>
      <c r="I120" t="s">
        <v>117</v>
      </c>
    </row>
    <row r="121" spans="1:13" x14ac:dyDescent="0.25">
      <c r="A121">
        <v>120</v>
      </c>
      <c r="B121">
        <v>6</v>
      </c>
      <c r="C121">
        <v>12</v>
      </c>
      <c r="D121" s="2">
        <v>42126.854039351849</v>
      </c>
      <c r="E121" t="s">
        <v>41</v>
      </c>
      <c r="F121">
        <v>150</v>
      </c>
      <c r="G121" s="3">
        <v>5</v>
      </c>
      <c r="H121">
        <v>2050</v>
      </c>
      <c r="I121" t="s">
        <v>121</v>
      </c>
      <c r="J121">
        <v>4</v>
      </c>
      <c r="K121">
        <v>9</v>
      </c>
      <c r="L121">
        <v>17</v>
      </c>
      <c r="M121">
        <v>12</v>
      </c>
    </row>
    <row r="122" spans="1:13" x14ac:dyDescent="0.25">
      <c r="A122">
        <v>121</v>
      </c>
      <c r="B122">
        <v>6</v>
      </c>
      <c r="C122">
        <v>19</v>
      </c>
      <c r="D122" s="2">
        <v>42130.711817129632</v>
      </c>
      <c r="E122" t="s">
        <v>41</v>
      </c>
      <c r="F122">
        <v>120</v>
      </c>
      <c r="G122" s="3">
        <v>6</v>
      </c>
      <c r="H122">
        <v>1929</v>
      </c>
      <c r="I122" t="s">
        <v>121</v>
      </c>
      <c r="J122">
        <v>15</v>
      </c>
      <c r="K122">
        <v>14</v>
      </c>
      <c r="L122">
        <v>6</v>
      </c>
      <c r="M122">
        <v>7</v>
      </c>
    </row>
    <row r="123" spans="1:13" x14ac:dyDescent="0.25">
      <c r="A123">
        <v>122</v>
      </c>
      <c r="B123">
        <v>6</v>
      </c>
      <c r="C123">
        <v>23</v>
      </c>
      <c r="D123" s="2">
        <v>42125.361770833333</v>
      </c>
      <c r="E123" t="s">
        <v>41</v>
      </c>
      <c r="F123">
        <v>90</v>
      </c>
      <c r="G123" s="3">
        <v>7</v>
      </c>
      <c r="H123">
        <v>2091</v>
      </c>
      <c r="I123" t="s">
        <v>121</v>
      </c>
      <c r="J123">
        <v>1</v>
      </c>
      <c r="K123">
        <v>5</v>
      </c>
      <c r="L123">
        <v>20</v>
      </c>
      <c r="M123">
        <v>16</v>
      </c>
    </row>
    <row r="124" spans="1:13" x14ac:dyDescent="0.25">
      <c r="A124">
        <v>123</v>
      </c>
      <c r="B124">
        <v>6</v>
      </c>
      <c r="C124">
        <v>10</v>
      </c>
      <c r="D124" s="2">
        <v>42129.220069444447</v>
      </c>
      <c r="E124" t="s">
        <v>41</v>
      </c>
      <c r="F124">
        <v>60</v>
      </c>
      <c r="G124" s="3">
        <v>8</v>
      </c>
      <c r="H124">
        <v>0</v>
      </c>
      <c r="I124" t="s">
        <v>117</v>
      </c>
    </row>
    <row r="125" spans="1:13" x14ac:dyDescent="0.25">
      <c r="A125">
        <v>124</v>
      </c>
      <c r="B125">
        <v>6</v>
      </c>
      <c r="C125">
        <v>5</v>
      </c>
      <c r="D125" s="2">
        <v>42128.372997685183</v>
      </c>
      <c r="E125" t="s">
        <v>41</v>
      </c>
      <c r="F125">
        <v>30</v>
      </c>
      <c r="G125" s="3">
        <v>9</v>
      </c>
      <c r="H125">
        <v>2056</v>
      </c>
      <c r="I125" t="s">
        <v>121</v>
      </c>
      <c r="J125">
        <v>3</v>
      </c>
      <c r="K125">
        <v>1</v>
      </c>
      <c r="L125">
        <v>18</v>
      </c>
      <c r="M125">
        <v>20</v>
      </c>
    </row>
    <row r="126" spans="1:13" x14ac:dyDescent="0.25">
      <c r="A126">
        <v>125</v>
      </c>
      <c r="B126">
        <v>6</v>
      </c>
      <c r="C126">
        <v>28</v>
      </c>
      <c r="D126" s="2">
        <v>42130.938020833331</v>
      </c>
      <c r="E126" t="s">
        <v>41</v>
      </c>
      <c r="F126">
        <v>240</v>
      </c>
      <c r="G126" s="3">
        <v>10</v>
      </c>
      <c r="H126">
        <v>1921</v>
      </c>
      <c r="I126" t="s">
        <v>121</v>
      </c>
      <c r="J126">
        <v>16</v>
      </c>
      <c r="K126">
        <v>20</v>
      </c>
      <c r="L126">
        <v>5</v>
      </c>
      <c r="M126">
        <v>1</v>
      </c>
    </row>
    <row r="127" spans="1:13" x14ac:dyDescent="0.25">
      <c r="A127">
        <v>126</v>
      </c>
      <c r="B127">
        <v>6</v>
      </c>
      <c r="C127">
        <v>17</v>
      </c>
      <c r="D127" s="2">
        <v>42124.491412037038</v>
      </c>
      <c r="E127" t="s">
        <v>41</v>
      </c>
      <c r="F127">
        <v>90</v>
      </c>
      <c r="G127" s="3">
        <v>11</v>
      </c>
      <c r="H127">
        <v>1993</v>
      </c>
      <c r="I127" t="s">
        <v>121</v>
      </c>
      <c r="J127">
        <v>9</v>
      </c>
      <c r="K127">
        <v>8</v>
      </c>
      <c r="L127">
        <v>12</v>
      </c>
      <c r="M127">
        <v>13</v>
      </c>
    </row>
    <row r="128" spans="1:13" x14ac:dyDescent="0.25">
      <c r="A128">
        <v>127</v>
      </c>
      <c r="B128">
        <v>6</v>
      </c>
      <c r="C128">
        <v>18</v>
      </c>
      <c r="D128" s="2">
        <v>42131.05574074074</v>
      </c>
      <c r="E128" t="s">
        <v>41</v>
      </c>
      <c r="F128">
        <v>300</v>
      </c>
      <c r="G128" s="3">
        <v>12</v>
      </c>
      <c r="H128">
        <v>0</v>
      </c>
      <c r="I128" t="s">
        <v>120</v>
      </c>
    </row>
    <row r="129" spans="1:13" x14ac:dyDescent="0.25">
      <c r="A129">
        <v>128</v>
      </c>
      <c r="B129">
        <v>6</v>
      </c>
      <c r="C129">
        <v>29</v>
      </c>
      <c r="D129" s="2">
        <v>42129.224039351851</v>
      </c>
      <c r="E129" t="s">
        <v>41</v>
      </c>
      <c r="F129">
        <v>30</v>
      </c>
      <c r="G129" s="3">
        <v>13</v>
      </c>
      <c r="H129">
        <v>2041</v>
      </c>
      <c r="I129" t="s">
        <v>121</v>
      </c>
      <c r="J129">
        <v>5</v>
      </c>
      <c r="K129">
        <v>3</v>
      </c>
      <c r="L129">
        <v>16</v>
      </c>
      <c r="M129">
        <v>18</v>
      </c>
    </row>
    <row r="130" spans="1:13" x14ac:dyDescent="0.25">
      <c r="A130">
        <v>129</v>
      </c>
      <c r="B130">
        <v>6</v>
      </c>
      <c r="C130">
        <v>21</v>
      </c>
      <c r="D130" s="2">
        <v>42131.455659722225</v>
      </c>
      <c r="E130" t="s">
        <v>41</v>
      </c>
      <c r="F130">
        <v>0</v>
      </c>
      <c r="G130" s="3">
        <v>14</v>
      </c>
      <c r="H130">
        <v>2017</v>
      </c>
      <c r="I130" t="s">
        <v>121</v>
      </c>
      <c r="J130">
        <v>6</v>
      </c>
      <c r="K130">
        <v>2</v>
      </c>
      <c r="L130">
        <v>15</v>
      </c>
      <c r="M130">
        <v>19</v>
      </c>
    </row>
    <row r="131" spans="1:13" x14ac:dyDescent="0.25">
      <c r="A131">
        <v>130</v>
      </c>
      <c r="B131">
        <v>6</v>
      </c>
      <c r="C131">
        <v>1</v>
      </c>
      <c r="D131" s="2">
        <v>42125.396828703706</v>
      </c>
      <c r="E131" t="s">
        <v>41</v>
      </c>
      <c r="F131">
        <v>180</v>
      </c>
      <c r="G131" s="3">
        <v>15</v>
      </c>
      <c r="H131">
        <v>1993</v>
      </c>
      <c r="I131" t="s">
        <v>121</v>
      </c>
      <c r="J131">
        <v>9</v>
      </c>
      <c r="K131">
        <v>13</v>
      </c>
      <c r="L131">
        <v>12</v>
      </c>
      <c r="M131">
        <v>8</v>
      </c>
    </row>
    <row r="132" spans="1:13" x14ac:dyDescent="0.25">
      <c r="A132">
        <v>131</v>
      </c>
      <c r="B132">
        <v>6</v>
      </c>
      <c r="C132">
        <v>8</v>
      </c>
      <c r="D132" s="2">
        <v>42127.629155092596</v>
      </c>
      <c r="E132" t="s">
        <v>41</v>
      </c>
      <c r="F132">
        <v>150</v>
      </c>
      <c r="G132" s="3">
        <v>16</v>
      </c>
      <c r="H132">
        <v>1969</v>
      </c>
      <c r="I132" t="s">
        <v>121</v>
      </c>
      <c r="J132">
        <v>10</v>
      </c>
      <c r="K132">
        <v>12</v>
      </c>
      <c r="L132">
        <v>11</v>
      </c>
      <c r="M132">
        <v>9</v>
      </c>
    </row>
    <row r="133" spans="1:13" x14ac:dyDescent="0.25">
      <c r="A133">
        <v>132</v>
      </c>
      <c r="B133">
        <v>6</v>
      </c>
      <c r="C133">
        <v>13</v>
      </c>
      <c r="D133" s="2">
        <v>42129.861296296294</v>
      </c>
      <c r="E133" t="s">
        <v>41</v>
      </c>
      <c r="F133">
        <v>30</v>
      </c>
      <c r="G133" s="3">
        <v>17</v>
      </c>
      <c r="H133">
        <v>1944</v>
      </c>
      <c r="I133" t="s">
        <v>121</v>
      </c>
      <c r="J133">
        <v>13</v>
      </c>
      <c r="K133">
        <v>7</v>
      </c>
      <c r="L133">
        <v>8</v>
      </c>
      <c r="M133">
        <v>14</v>
      </c>
    </row>
    <row r="134" spans="1:13" x14ac:dyDescent="0.25">
      <c r="A134">
        <v>133</v>
      </c>
      <c r="B134">
        <v>6</v>
      </c>
      <c r="C134">
        <v>26</v>
      </c>
      <c r="D134" s="2">
        <v>42131.0934375</v>
      </c>
      <c r="E134" t="s">
        <v>41</v>
      </c>
      <c r="F134">
        <v>0</v>
      </c>
      <c r="G134" s="3">
        <v>18</v>
      </c>
      <c r="H134">
        <v>1920</v>
      </c>
      <c r="I134" t="s">
        <v>121</v>
      </c>
      <c r="J134">
        <v>17</v>
      </c>
      <c r="K134">
        <v>6</v>
      </c>
      <c r="L134">
        <v>4</v>
      </c>
      <c r="M134">
        <v>15</v>
      </c>
    </row>
    <row r="135" spans="1:13" x14ac:dyDescent="0.25">
      <c r="A135">
        <v>134</v>
      </c>
      <c r="B135">
        <v>6</v>
      </c>
      <c r="C135">
        <v>7</v>
      </c>
      <c r="D135" s="2">
        <v>42125.063958333332</v>
      </c>
      <c r="E135" t="s">
        <v>41</v>
      </c>
      <c r="F135">
        <v>180</v>
      </c>
      <c r="G135" s="3">
        <v>19</v>
      </c>
      <c r="H135">
        <v>1896</v>
      </c>
      <c r="I135" t="s">
        <v>121</v>
      </c>
      <c r="J135">
        <v>19</v>
      </c>
      <c r="K135">
        <v>19</v>
      </c>
      <c r="L135">
        <v>2</v>
      </c>
      <c r="M135">
        <v>2</v>
      </c>
    </row>
    <row r="136" spans="1:13" x14ac:dyDescent="0.25">
      <c r="A136">
        <v>135</v>
      </c>
      <c r="B136">
        <v>6</v>
      </c>
      <c r="C136">
        <v>16</v>
      </c>
      <c r="D136" s="2">
        <v>42127.296793981484</v>
      </c>
      <c r="E136" t="s">
        <v>41</v>
      </c>
      <c r="F136">
        <v>150</v>
      </c>
      <c r="G136" s="3">
        <v>20</v>
      </c>
      <c r="H136">
        <v>1872</v>
      </c>
      <c r="I136" t="s">
        <v>121</v>
      </c>
      <c r="J136">
        <v>20</v>
      </c>
      <c r="K136">
        <v>18</v>
      </c>
      <c r="L136">
        <v>1</v>
      </c>
      <c r="M136">
        <v>3</v>
      </c>
    </row>
    <row r="137" spans="1:13" x14ac:dyDescent="0.25">
      <c r="A137">
        <v>136</v>
      </c>
      <c r="B137">
        <v>6</v>
      </c>
      <c r="C137">
        <v>31</v>
      </c>
      <c r="D137" s="2">
        <v>42124.529120370367</v>
      </c>
      <c r="E137" t="s">
        <v>41</v>
      </c>
      <c r="F137">
        <v>120</v>
      </c>
      <c r="G137" s="3">
        <v>21</v>
      </c>
      <c r="H137">
        <v>2130</v>
      </c>
      <c r="I137" t="s">
        <v>121</v>
      </c>
      <c r="K137">
        <v>4</v>
      </c>
      <c r="L137">
        <v>22</v>
      </c>
      <c r="M137">
        <v>17</v>
      </c>
    </row>
    <row r="138" spans="1:13" x14ac:dyDescent="0.25">
      <c r="A138">
        <v>137</v>
      </c>
      <c r="B138">
        <v>6</v>
      </c>
      <c r="C138">
        <v>24</v>
      </c>
      <c r="D138" s="2">
        <v>42126.468888888892</v>
      </c>
      <c r="E138" t="s">
        <v>41</v>
      </c>
      <c r="F138">
        <v>0</v>
      </c>
      <c r="G138" s="3">
        <v>22</v>
      </c>
      <c r="H138">
        <v>2106</v>
      </c>
      <c r="I138" t="s">
        <v>121</v>
      </c>
      <c r="L138">
        <v>21</v>
      </c>
      <c r="M138">
        <v>22</v>
      </c>
    </row>
    <row r="139" spans="1:13" x14ac:dyDescent="0.25">
      <c r="A139">
        <v>138</v>
      </c>
      <c r="B139">
        <v>6</v>
      </c>
      <c r="C139">
        <v>20</v>
      </c>
      <c r="D139" s="2">
        <v>42128.743576388886</v>
      </c>
      <c r="E139" t="s">
        <v>41</v>
      </c>
      <c r="F139">
        <v>300</v>
      </c>
      <c r="G139" s="3">
        <v>23</v>
      </c>
      <c r="H139">
        <v>0</v>
      </c>
      <c r="I139" t="s">
        <v>117</v>
      </c>
    </row>
    <row r="140" spans="1:13" x14ac:dyDescent="0.25">
      <c r="A140">
        <v>139</v>
      </c>
      <c r="B140">
        <v>6</v>
      </c>
      <c r="C140">
        <v>30</v>
      </c>
      <c r="D140" s="2">
        <v>42128.957048611112</v>
      </c>
      <c r="E140" t="s">
        <v>41</v>
      </c>
      <c r="F140">
        <v>180</v>
      </c>
      <c r="G140" s="3">
        <v>24</v>
      </c>
      <c r="H140">
        <v>1904</v>
      </c>
      <c r="I140" t="s">
        <v>121</v>
      </c>
      <c r="J140">
        <v>18</v>
      </c>
      <c r="K140">
        <v>17</v>
      </c>
      <c r="L140">
        <v>3</v>
      </c>
      <c r="M140">
        <v>4</v>
      </c>
    </row>
    <row r="141" spans="1:13" x14ac:dyDescent="0.25">
      <c r="A141">
        <v>140</v>
      </c>
      <c r="B141">
        <v>6</v>
      </c>
      <c r="C141">
        <v>27</v>
      </c>
      <c r="D141" s="2">
        <v>42129.843321759261</v>
      </c>
      <c r="E141" t="s">
        <v>41</v>
      </c>
      <c r="F141">
        <v>30</v>
      </c>
      <c r="G141" s="3">
        <v>25</v>
      </c>
      <c r="H141">
        <v>2073</v>
      </c>
      <c r="I141" t="s">
        <v>121</v>
      </c>
      <c r="J141">
        <v>2</v>
      </c>
      <c r="L141">
        <v>19</v>
      </c>
      <c r="M141">
        <v>21</v>
      </c>
    </row>
    <row r="142" spans="1:13" x14ac:dyDescent="0.25">
      <c r="A142">
        <v>141</v>
      </c>
      <c r="B142">
        <v>6</v>
      </c>
      <c r="C142">
        <v>4</v>
      </c>
      <c r="D142" s="2">
        <v>42129.770381944443</v>
      </c>
      <c r="E142" t="s">
        <v>41</v>
      </c>
      <c r="F142">
        <v>120</v>
      </c>
      <c r="G142" s="3">
        <v>26</v>
      </c>
      <c r="H142">
        <v>1960</v>
      </c>
      <c r="I142" t="s">
        <v>121</v>
      </c>
      <c r="J142">
        <v>12</v>
      </c>
      <c r="K142">
        <v>11</v>
      </c>
      <c r="L142">
        <v>9</v>
      </c>
      <c r="M142">
        <v>10</v>
      </c>
    </row>
    <row r="143" spans="1:13" x14ac:dyDescent="0.25">
      <c r="A143">
        <v>142</v>
      </c>
      <c r="B143">
        <v>7</v>
      </c>
      <c r="C143">
        <v>20</v>
      </c>
      <c r="D143" s="2">
        <v>42138.365439814814</v>
      </c>
      <c r="E143" t="s">
        <v>41</v>
      </c>
      <c r="F143">
        <v>90</v>
      </c>
      <c r="G143" s="3">
        <v>1</v>
      </c>
      <c r="H143">
        <v>1673</v>
      </c>
      <c r="I143" t="s">
        <v>121</v>
      </c>
      <c r="J143">
        <v>4</v>
      </c>
      <c r="K143">
        <v>3</v>
      </c>
      <c r="L143">
        <v>17</v>
      </c>
      <c r="M143">
        <v>18</v>
      </c>
    </row>
    <row r="144" spans="1:13" x14ac:dyDescent="0.25">
      <c r="A144">
        <v>143</v>
      </c>
      <c r="B144">
        <v>7</v>
      </c>
      <c r="C144">
        <v>21</v>
      </c>
      <c r="D144" s="2">
        <v>42137.262129629627</v>
      </c>
      <c r="E144" t="s">
        <v>41</v>
      </c>
      <c r="F144">
        <v>180</v>
      </c>
      <c r="G144" s="3">
        <v>2</v>
      </c>
      <c r="H144">
        <v>1642</v>
      </c>
      <c r="I144" t="s">
        <v>121</v>
      </c>
      <c r="J144">
        <v>9</v>
      </c>
      <c r="K144">
        <v>13</v>
      </c>
      <c r="L144">
        <v>12</v>
      </c>
      <c r="M144">
        <v>8</v>
      </c>
    </row>
    <row r="145" spans="1:13" x14ac:dyDescent="0.25">
      <c r="A145">
        <v>144</v>
      </c>
      <c r="B145">
        <v>7</v>
      </c>
      <c r="C145">
        <v>17</v>
      </c>
      <c r="D145" s="2">
        <v>42137.189884259256</v>
      </c>
      <c r="E145" t="s">
        <v>41</v>
      </c>
      <c r="F145">
        <v>60</v>
      </c>
      <c r="G145" s="3">
        <v>3</v>
      </c>
      <c r="H145">
        <v>1549</v>
      </c>
      <c r="I145" t="s">
        <v>121</v>
      </c>
      <c r="J145">
        <v>20</v>
      </c>
      <c r="K145">
        <v>9</v>
      </c>
      <c r="L145">
        <v>1</v>
      </c>
      <c r="M145">
        <v>12</v>
      </c>
    </row>
    <row r="146" spans="1:13" x14ac:dyDescent="0.25">
      <c r="A146">
        <v>145</v>
      </c>
      <c r="B146">
        <v>7</v>
      </c>
      <c r="C146">
        <v>28</v>
      </c>
      <c r="D146" s="2">
        <v>42138.117129629631</v>
      </c>
      <c r="E146" t="s">
        <v>41</v>
      </c>
      <c r="F146">
        <v>270</v>
      </c>
      <c r="G146" s="3">
        <v>4</v>
      </c>
      <c r="H146">
        <v>0</v>
      </c>
      <c r="I146" t="s">
        <v>117</v>
      </c>
    </row>
    <row r="147" spans="1:13" x14ac:dyDescent="0.25">
      <c r="A147">
        <v>146</v>
      </c>
      <c r="B147">
        <v>7</v>
      </c>
      <c r="C147">
        <v>7</v>
      </c>
      <c r="D147" s="2">
        <v>42136.663888888892</v>
      </c>
      <c r="E147" t="s">
        <v>41</v>
      </c>
      <c r="F147">
        <v>0</v>
      </c>
      <c r="G147" s="3">
        <v>5</v>
      </c>
      <c r="H147">
        <v>1698</v>
      </c>
      <c r="I147" t="s">
        <v>121</v>
      </c>
      <c r="J147">
        <v>1</v>
      </c>
      <c r="L147">
        <v>20</v>
      </c>
      <c r="M147">
        <v>26</v>
      </c>
    </row>
    <row r="148" spans="1:13" x14ac:dyDescent="0.25">
      <c r="A148">
        <v>147</v>
      </c>
      <c r="B148">
        <v>7</v>
      </c>
      <c r="C148">
        <v>2</v>
      </c>
      <c r="D148" s="2">
        <v>42135.245081018518</v>
      </c>
      <c r="E148" t="s">
        <v>41</v>
      </c>
      <c r="F148">
        <v>90</v>
      </c>
      <c r="G148" s="3">
        <v>6</v>
      </c>
      <c r="H148">
        <v>1593</v>
      </c>
      <c r="I148" t="s">
        <v>121</v>
      </c>
      <c r="J148">
        <v>14</v>
      </c>
      <c r="K148">
        <v>8</v>
      </c>
      <c r="L148">
        <v>7</v>
      </c>
      <c r="M148">
        <v>13</v>
      </c>
    </row>
    <row r="149" spans="1:13" x14ac:dyDescent="0.25">
      <c r="A149">
        <v>148</v>
      </c>
      <c r="B149">
        <v>7</v>
      </c>
      <c r="C149">
        <v>12</v>
      </c>
      <c r="D149" s="2">
        <v>42134.795717592591</v>
      </c>
      <c r="E149" t="s">
        <v>41</v>
      </c>
      <c r="F149">
        <v>150</v>
      </c>
      <c r="G149" s="3">
        <v>7</v>
      </c>
      <c r="H149">
        <v>1659</v>
      </c>
      <c r="I149" t="s">
        <v>121</v>
      </c>
      <c r="J149">
        <v>7</v>
      </c>
      <c r="K149">
        <v>7</v>
      </c>
      <c r="L149">
        <v>14</v>
      </c>
      <c r="M149">
        <v>14</v>
      </c>
    </row>
    <row r="150" spans="1:13" x14ac:dyDescent="0.25">
      <c r="A150">
        <v>149</v>
      </c>
      <c r="B150">
        <v>7</v>
      </c>
      <c r="C150">
        <v>19</v>
      </c>
      <c r="D150" s="2">
        <v>42131.667881944442</v>
      </c>
      <c r="E150" t="s">
        <v>41</v>
      </c>
      <c r="F150">
        <v>270</v>
      </c>
      <c r="G150" s="3">
        <v>8</v>
      </c>
      <c r="H150">
        <v>0</v>
      </c>
      <c r="I150" t="s">
        <v>117</v>
      </c>
    </row>
    <row r="151" spans="1:13" x14ac:dyDescent="0.25">
      <c r="A151">
        <v>150</v>
      </c>
      <c r="B151">
        <v>7</v>
      </c>
      <c r="C151">
        <v>8</v>
      </c>
      <c r="D151" s="2">
        <v>42137.080752314818</v>
      </c>
      <c r="E151" t="s">
        <v>41</v>
      </c>
      <c r="F151">
        <v>60</v>
      </c>
      <c r="G151" s="3">
        <v>9</v>
      </c>
      <c r="H151">
        <v>1672</v>
      </c>
      <c r="I151" t="s">
        <v>121</v>
      </c>
      <c r="J151">
        <v>5</v>
      </c>
      <c r="K151">
        <v>2</v>
      </c>
      <c r="L151">
        <v>16</v>
      </c>
      <c r="M151">
        <v>19</v>
      </c>
    </row>
    <row r="152" spans="1:13" x14ac:dyDescent="0.25">
      <c r="A152">
        <v>151</v>
      </c>
      <c r="B152">
        <v>7</v>
      </c>
      <c r="C152">
        <v>13</v>
      </c>
      <c r="D152" s="2">
        <v>42134.356863425928</v>
      </c>
      <c r="E152" t="s">
        <v>41</v>
      </c>
      <c r="F152">
        <v>30</v>
      </c>
      <c r="G152" s="3">
        <v>10</v>
      </c>
      <c r="H152">
        <v>1664</v>
      </c>
      <c r="I152" t="s">
        <v>121</v>
      </c>
      <c r="J152">
        <v>6</v>
      </c>
      <c r="L152">
        <v>15</v>
      </c>
      <c r="M152">
        <v>23</v>
      </c>
    </row>
    <row r="153" spans="1:13" x14ac:dyDescent="0.25">
      <c r="A153">
        <v>152</v>
      </c>
      <c r="B153">
        <v>7</v>
      </c>
      <c r="C153">
        <v>18</v>
      </c>
      <c r="D153" s="2">
        <v>42136.546631944446</v>
      </c>
      <c r="E153" t="s">
        <v>41</v>
      </c>
      <c r="F153">
        <v>240</v>
      </c>
      <c r="G153" s="3">
        <v>11</v>
      </c>
      <c r="H153">
        <v>1641</v>
      </c>
      <c r="I153" t="s">
        <v>121</v>
      </c>
      <c r="J153">
        <v>10</v>
      </c>
      <c r="K153">
        <v>16</v>
      </c>
      <c r="L153">
        <v>11</v>
      </c>
      <c r="M153">
        <v>5</v>
      </c>
    </row>
    <row r="154" spans="1:13" x14ac:dyDescent="0.25">
      <c r="A154">
        <v>153</v>
      </c>
      <c r="B154">
        <v>7</v>
      </c>
      <c r="C154">
        <v>23</v>
      </c>
      <c r="D154" s="2">
        <v>42132.833344907405</v>
      </c>
      <c r="E154" t="s">
        <v>41</v>
      </c>
      <c r="F154">
        <v>300</v>
      </c>
      <c r="G154" s="3">
        <v>12</v>
      </c>
      <c r="H154">
        <v>1695</v>
      </c>
      <c r="I154" t="s">
        <v>121</v>
      </c>
      <c r="J154">
        <v>2</v>
      </c>
      <c r="K154">
        <v>17</v>
      </c>
      <c r="L154">
        <v>19</v>
      </c>
      <c r="M154">
        <v>4</v>
      </c>
    </row>
    <row r="155" spans="1:13" x14ac:dyDescent="0.25">
      <c r="A155">
        <v>154</v>
      </c>
      <c r="B155">
        <v>7</v>
      </c>
      <c r="C155">
        <v>1</v>
      </c>
      <c r="D155" s="2">
        <v>42137.401122685187</v>
      </c>
      <c r="E155" t="s">
        <v>41</v>
      </c>
      <c r="F155">
        <v>300</v>
      </c>
      <c r="G155" s="3">
        <v>13</v>
      </c>
      <c r="H155">
        <v>1748</v>
      </c>
      <c r="I155" t="s">
        <v>121</v>
      </c>
      <c r="K155">
        <v>14</v>
      </c>
      <c r="L155">
        <v>25</v>
      </c>
      <c r="M155">
        <v>7</v>
      </c>
    </row>
    <row r="156" spans="1:13" x14ac:dyDescent="0.25">
      <c r="A156">
        <v>155</v>
      </c>
      <c r="B156">
        <v>7</v>
      </c>
      <c r="C156">
        <v>4</v>
      </c>
      <c r="D156" s="2">
        <v>42133.646666666667</v>
      </c>
      <c r="E156" t="s">
        <v>41</v>
      </c>
      <c r="F156">
        <v>270</v>
      </c>
      <c r="G156" s="3">
        <v>14</v>
      </c>
      <c r="H156">
        <v>1740</v>
      </c>
      <c r="I156" t="s">
        <v>121</v>
      </c>
      <c r="K156">
        <v>11</v>
      </c>
      <c r="L156">
        <v>23</v>
      </c>
      <c r="M156">
        <v>10</v>
      </c>
    </row>
    <row r="157" spans="1:13" x14ac:dyDescent="0.25">
      <c r="A157">
        <v>156</v>
      </c>
      <c r="B157">
        <v>7</v>
      </c>
      <c r="C157">
        <v>10</v>
      </c>
      <c r="D157" s="2">
        <v>42138.214444444442</v>
      </c>
      <c r="E157" t="s">
        <v>41</v>
      </c>
      <c r="F157">
        <v>0</v>
      </c>
      <c r="G157" s="3">
        <v>15</v>
      </c>
      <c r="H157">
        <v>1562</v>
      </c>
      <c r="I157" t="s">
        <v>121</v>
      </c>
      <c r="J157">
        <v>18</v>
      </c>
      <c r="K157">
        <v>5</v>
      </c>
      <c r="L157">
        <v>3</v>
      </c>
      <c r="M157">
        <v>16</v>
      </c>
    </row>
    <row r="158" spans="1:13" x14ac:dyDescent="0.25">
      <c r="A158">
        <v>157</v>
      </c>
      <c r="B158">
        <v>7</v>
      </c>
      <c r="C158">
        <v>14</v>
      </c>
      <c r="D158" s="2">
        <v>42133.46</v>
      </c>
      <c r="E158" t="s">
        <v>41</v>
      </c>
      <c r="F158">
        <v>0</v>
      </c>
      <c r="G158" s="3">
        <v>16</v>
      </c>
      <c r="H158">
        <v>1615</v>
      </c>
      <c r="I158" t="s">
        <v>121</v>
      </c>
      <c r="J158">
        <v>12</v>
      </c>
      <c r="K158">
        <v>1</v>
      </c>
      <c r="L158">
        <v>9</v>
      </c>
      <c r="M158">
        <v>20</v>
      </c>
    </row>
    <row r="159" spans="1:13" x14ac:dyDescent="0.25">
      <c r="A159">
        <v>158</v>
      </c>
      <c r="B159">
        <v>7</v>
      </c>
      <c r="C159">
        <v>22</v>
      </c>
      <c r="D159" s="2">
        <v>42137.03837962963</v>
      </c>
      <c r="E159" t="s">
        <v>41</v>
      </c>
      <c r="F159">
        <v>300</v>
      </c>
      <c r="G159" s="3">
        <v>17</v>
      </c>
      <c r="H159">
        <v>0</v>
      </c>
      <c r="I159" t="s">
        <v>117</v>
      </c>
    </row>
    <row r="160" spans="1:13" x14ac:dyDescent="0.25">
      <c r="A160">
        <v>159</v>
      </c>
      <c r="B160">
        <v>7</v>
      </c>
      <c r="C160">
        <v>31</v>
      </c>
      <c r="D160" s="2">
        <v>42131.266192129631</v>
      </c>
      <c r="E160" t="s">
        <v>41</v>
      </c>
      <c r="F160">
        <v>150</v>
      </c>
      <c r="G160" s="3">
        <v>18</v>
      </c>
      <c r="H160">
        <v>1612</v>
      </c>
      <c r="I160" t="s">
        <v>121</v>
      </c>
      <c r="J160">
        <v>13</v>
      </c>
      <c r="K160">
        <v>13</v>
      </c>
      <c r="L160">
        <v>8</v>
      </c>
      <c r="M160">
        <v>8</v>
      </c>
    </row>
    <row r="161" spans="1:13" x14ac:dyDescent="0.25">
      <c r="A161">
        <v>160</v>
      </c>
      <c r="B161">
        <v>7</v>
      </c>
      <c r="C161">
        <v>30</v>
      </c>
      <c r="D161" s="2">
        <v>42133.540879629632</v>
      </c>
      <c r="E161" t="s">
        <v>41</v>
      </c>
      <c r="F161">
        <v>120</v>
      </c>
      <c r="G161" s="3">
        <v>19</v>
      </c>
      <c r="H161">
        <v>1592</v>
      </c>
      <c r="I161" t="s">
        <v>121</v>
      </c>
      <c r="J161">
        <v>15</v>
      </c>
      <c r="K161">
        <v>10</v>
      </c>
      <c r="L161">
        <v>6</v>
      </c>
      <c r="M161">
        <v>11</v>
      </c>
    </row>
    <row r="162" spans="1:13" x14ac:dyDescent="0.25">
      <c r="A162">
        <v>161</v>
      </c>
      <c r="B162">
        <v>7</v>
      </c>
      <c r="C162">
        <v>24</v>
      </c>
      <c r="D162" s="2">
        <v>42135.73065972222</v>
      </c>
      <c r="E162" t="s">
        <v>41</v>
      </c>
      <c r="F162">
        <v>0</v>
      </c>
      <c r="G162" s="3">
        <v>20</v>
      </c>
      <c r="H162">
        <v>1573</v>
      </c>
      <c r="I162" t="s">
        <v>121</v>
      </c>
      <c r="J162">
        <v>17</v>
      </c>
      <c r="K162">
        <v>4</v>
      </c>
      <c r="L162">
        <v>4</v>
      </c>
      <c r="M162">
        <v>17</v>
      </c>
    </row>
    <row r="163" spans="1:13" x14ac:dyDescent="0.25">
      <c r="A163">
        <v>162</v>
      </c>
      <c r="B163">
        <v>7</v>
      </c>
      <c r="C163">
        <v>5</v>
      </c>
      <c r="D163" s="2">
        <v>42137.962789351855</v>
      </c>
      <c r="E163" t="s">
        <v>41</v>
      </c>
      <c r="F163">
        <v>300</v>
      </c>
      <c r="G163" s="3">
        <v>21</v>
      </c>
      <c r="H163">
        <v>1553</v>
      </c>
      <c r="I163" t="s">
        <v>121</v>
      </c>
      <c r="J163">
        <v>19</v>
      </c>
      <c r="K163">
        <v>20</v>
      </c>
      <c r="L163">
        <v>2</v>
      </c>
      <c r="M163">
        <v>1</v>
      </c>
    </row>
    <row r="164" spans="1:13" x14ac:dyDescent="0.25">
      <c r="A164">
        <v>163</v>
      </c>
      <c r="B164">
        <v>7</v>
      </c>
      <c r="C164">
        <v>25</v>
      </c>
      <c r="D164" s="2">
        <v>42131.934699074074</v>
      </c>
      <c r="E164" t="s">
        <v>41</v>
      </c>
      <c r="F164">
        <v>150</v>
      </c>
      <c r="G164" s="3">
        <v>22</v>
      </c>
      <c r="H164">
        <v>1765</v>
      </c>
      <c r="I164" t="s">
        <v>121</v>
      </c>
      <c r="K164">
        <v>1</v>
      </c>
      <c r="L164">
        <v>26</v>
      </c>
      <c r="M164">
        <v>20</v>
      </c>
    </row>
    <row r="165" spans="1:13" x14ac:dyDescent="0.25">
      <c r="A165">
        <v>164</v>
      </c>
      <c r="B165">
        <v>7</v>
      </c>
      <c r="C165">
        <v>16</v>
      </c>
      <c r="D165" s="2">
        <v>42133.207812499997</v>
      </c>
      <c r="E165" t="s">
        <v>41</v>
      </c>
      <c r="F165">
        <v>120</v>
      </c>
      <c r="G165" s="3">
        <v>23</v>
      </c>
      <c r="H165">
        <v>1745</v>
      </c>
      <c r="I165" t="s">
        <v>121</v>
      </c>
      <c r="L165">
        <v>24</v>
      </c>
      <c r="M165">
        <v>22</v>
      </c>
    </row>
    <row r="166" spans="1:13" x14ac:dyDescent="0.25">
      <c r="A166">
        <v>165</v>
      </c>
      <c r="B166">
        <v>7</v>
      </c>
      <c r="C166">
        <v>26</v>
      </c>
      <c r="D166" s="2">
        <v>42138.39916666667</v>
      </c>
      <c r="E166" t="s">
        <v>41</v>
      </c>
      <c r="F166">
        <v>90</v>
      </c>
      <c r="G166" s="3">
        <v>24</v>
      </c>
      <c r="H166">
        <v>1725</v>
      </c>
      <c r="I166" t="s">
        <v>121</v>
      </c>
      <c r="L166">
        <v>22</v>
      </c>
      <c r="M166">
        <v>24</v>
      </c>
    </row>
    <row r="167" spans="1:13" x14ac:dyDescent="0.25">
      <c r="A167">
        <v>166</v>
      </c>
      <c r="B167">
        <v>7</v>
      </c>
      <c r="C167">
        <v>15</v>
      </c>
      <c r="D167" s="2">
        <v>42132.338946759257</v>
      </c>
      <c r="E167" t="s">
        <v>41</v>
      </c>
      <c r="F167">
        <v>300</v>
      </c>
      <c r="G167" s="3">
        <v>25</v>
      </c>
      <c r="H167">
        <v>0</v>
      </c>
      <c r="I167" t="s">
        <v>117</v>
      </c>
    </row>
    <row r="168" spans="1:13" x14ac:dyDescent="0.25">
      <c r="A168">
        <v>167</v>
      </c>
      <c r="B168">
        <v>7</v>
      </c>
      <c r="C168">
        <v>11</v>
      </c>
      <c r="D168" s="2">
        <v>42133.683055555557</v>
      </c>
      <c r="E168" t="s">
        <v>41</v>
      </c>
      <c r="F168">
        <v>240</v>
      </c>
      <c r="G168" s="3">
        <v>26</v>
      </c>
      <c r="H168">
        <v>1586</v>
      </c>
      <c r="I168" t="s">
        <v>121</v>
      </c>
      <c r="J168">
        <v>16</v>
      </c>
      <c r="K168">
        <v>19</v>
      </c>
      <c r="L168">
        <v>5</v>
      </c>
      <c r="M168">
        <v>2</v>
      </c>
    </row>
    <row r="169" spans="1:13" x14ac:dyDescent="0.25">
      <c r="A169">
        <v>168</v>
      </c>
      <c r="B169">
        <v>7</v>
      </c>
      <c r="C169">
        <v>6</v>
      </c>
      <c r="D169" s="2">
        <v>42132.610289351855</v>
      </c>
      <c r="E169" t="s">
        <v>41</v>
      </c>
      <c r="F169">
        <v>60</v>
      </c>
      <c r="G169" s="3">
        <v>27</v>
      </c>
      <c r="H169">
        <v>1724</v>
      </c>
      <c r="I169" t="s">
        <v>121</v>
      </c>
      <c r="L169">
        <v>21</v>
      </c>
      <c r="M169">
        <v>25</v>
      </c>
    </row>
    <row r="170" spans="1:13" x14ac:dyDescent="0.25">
      <c r="A170">
        <v>169</v>
      </c>
      <c r="B170">
        <v>7</v>
      </c>
      <c r="C170">
        <v>9</v>
      </c>
      <c r="D170" s="2">
        <v>42134.537534722222</v>
      </c>
      <c r="E170" t="s">
        <v>41</v>
      </c>
      <c r="F170">
        <v>270</v>
      </c>
      <c r="G170" s="3">
        <v>28</v>
      </c>
      <c r="H170">
        <v>1631</v>
      </c>
      <c r="I170" t="s">
        <v>121</v>
      </c>
      <c r="J170">
        <v>11</v>
      </c>
      <c r="K170">
        <v>18</v>
      </c>
      <c r="L170">
        <v>10</v>
      </c>
      <c r="M170">
        <v>3</v>
      </c>
    </row>
    <row r="171" spans="1:13" x14ac:dyDescent="0.25">
      <c r="A171">
        <v>170</v>
      </c>
      <c r="B171">
        <v>7</v>
      </c>
      <c r="C171">
        <v>3</v>
      </c>
      <c r="D171" s="2">
        <v>42133.42292824074</v>
      </c>
      <c r="E171" t="s">
        <v>41</v>
      </c>
      <c r="F171">
        <v>30</v>
      </c>
      <c r="G171" s="3">
        <v>29</v>
      </c>
      <c r="H171">
        <v>1770</v>
      </c>
      <c r="I171" t="s">
        <v>121</v>
      </c>
      <c r="L171">
        <v>27</v>
      </c>
      <c r="M171">
        <v>27</v>
      </c>
    </row>
    <row r="172" spans="1:13" x14ac:dyDescent="0.25">
      <c r="A172">
        <v>171</v>
      </c>
      <c r="B172">
        <v>7</v>
      </c>
      <c r="C172">
        <v>27</v>
      </c>
      <c r="D172" s="2">
        <v>42133.350868055553</v>
      </c>
      <c r="E172" t="s">
        <v>41</v>
      </c>
      <c r="F172">
        <v>240</v>
      </c>
      <c r="G172" s="3">
        <v>30</v>
      </c>
      <c r="H172">
        <v>1677</v>
      </c>
      <c r="I172" t="s">
        <v>121</v>
      </c>
      <c r="J172">
        <v>3</v>
      </c>
      <c r="K172">
        <v>15</v>
      </c>
      <c r="L172">
        <v>18</v>
      </c>
      <c r="M172">
        <v>6</v>
      </c>
    </row>
    <row r="173" spans="1:13" x14ac:dyDescent="0.25">
      <c r="A173">
        <v>172</v>
      </c>
      <c r="B173">
        <v>7</v>
      </c>
      <c r="C173">
        <v>29</v>
      </c>
      <c r="D173" s="2">
        <v>42134.278113425928</v>
      </c>
      <c r="E173" t="s">
        <v>41</v>
      </c>
      <c r="F173">
        <v>90</v>
      </c>
      <c r="G173" s="3">
        <v>31</v>
      </c>
      <c r="H173">
        <v>1645</v>
      </c>
      <c r="I173" t="s">
        <v>121</v>
      </c>
      <c r="J173">
        <v>8</v>
      </c>
      <c r="K173">
        <v>6</v>
      </c>
      <c r="L173">
        <v>13</v>
      </c>
      <c r="M173">
        <v>15</v>
      </c>
    </row>
    <row r="174" spans="1:13" x14ac:dyDescent="0.25">
      <c r="A174">
        <v>173</v>
      </c>
      <c r="B174">
        <v>8</v>
      </c>
      <c r="C174">
        <v>14</v>
      </c>
      <c r="D174" s="2">
        <v>42141.842430555553</v>
      </c>
      <c r="E174" t="s">
        <v>41</v>
      </c>
      <c r="F174">
        <v>300</v>
      </c>
      <c r="G174" s="3">
        <v>1</v>
      </c>
      <c r="H174">
        <v>0</v>
      </c>
      <c r="I174" t="s">
        <v>120</v>
      </c>
    </row>
    <row r="175" spans="1:13" x14ac:dyDescent="0.25">
      <c r="A175">
        <v>174</v>
      </c>
      <c r="B175">
        <v>8</v>
      </c>
      <c r="C175">
        <v>24</v>
      </c>
      <c r="D175" s="2">
        <v>42143.698935185188</v>
      </c>
      <c r="E175" t="s">
        <v>41</v>
      </c>
      <c r="F175">
        <v>90</v>
      </c>
      <c r="G175" s="3">
        <v>2</v>
      </c>
      <c r="H175">
        <v>1787</v>
      </c>
      <c r="I175" t="s">
        <v>121</v>
      </c>
      <c r="J175">
        <v>18</v>
      </c>
      <c r="K175">
        <v>18</v>
      </c>
      <c r="L175">
        <v>3</v>
      </c>
      <c r="M175">
        <v>3</v>
      </c>
    </row>
    <row r="176" spans="1:13" x14ac:dyDescent="0.25">
      <c r="A176">
        <v>175</v>
      </c>
      <c r="B176">
        <v>8</v>
      </c>
      <c r="C176">
        <v>19</v>
      </c>
      <c r="D176" s="2">
        <v>42140.611620370371</v>
      </c>
      <c r="E176" t="s">
        <v>41</v>
      </c>
      <c r="F176">
        <v>150</v>
      </c>
      <c r="G176" s="3">
        <v>3</v>
      </c>
      <c r="H176">
        <v>1758</v>
      </c>
      <c r="I176" t="s">
        <v>121</v>
      </c>
      <c r="J176">
        <v>19</v>
      </c>
      <c r="K176">
        <v>19</v>
      </c>
      <c r="L176">
        <v>2</v>
      </c>
      <c r="M176">
        <v>2</v>
      </c>
    </row>
    <row r="177" spans="1:13" x14ac:dyDescent="0.25">
      <c r="A177">
        <v>176</v>
      </c>
      <c r="B177">
        <v>8</v>
      </c>
      <c r="C177">
        <v>20</v>
      </c>
      <c r="D177" s="2">
        <v>42145.566655092596</v>
      </c>
      <c r="E177" t="s">
        <v>41</v>
      </c>
      <c r="F177">
        <v>150</v>
      </c>
      <c r="G177" s="3">
        <v>4</v>
      </c>
      <c r="H177">
        <v>1730</v>
      </c>
      <c r="I177" t="s">
        <v>121</v>
      </c>
      <c r="J177">
        <v>20</v>
      </c>
      <c r="K177">
        <v>20</v>
      </c>
      <c r="L177">
        <v>1</v>
      </c>
      <c r="M177">
        <v>1</v>
      </c>
    </row>
    <row r="178" spans="1:13" x14ac:dyDescent="0.25">
      <c r="A178">
        <v>177</v>
      </c>
      <c r="B178">
        <v>9</v>
      </c>
      <c r="C178">
        <v>22</v>
      </c>
      <c r="D178" s="2">
        <v>42147.973935185182</v>
      </c>
      <c r="E178" t="s">
        <v>41</v>
      </c>
      <c r="F178">
        <v>180</v>
      </c>
      <c r="G178" s="3">
        <v>1</v>
      </c>
      <c r="H178">
        <v>3366</v>
      </c>
      <c r="I178" t="s">
        <v>121</v>
      </c>
      <c r="J178">
        <v>19</v>
      </c>
      <c r="K178">
        <v>20</v>
      </c>
      <c r="L178">
        <v>2</v>
      </c>
      <c r="M178">
        <v>1</v>
      </c>
    </row>
    <row r="179" spans="1:13" x14ac:dyDescent="0.25">
      <c r="A179">
        <v>178</v>
      </c>
      <c r="B179">
        <v>9</v>
      </c>
      <c r="C179">
        <v>2</v>
      </c>
      <c r="D179" s="2">
        <v>42146.178969907407</v>
      </c>
      <c r="E179" t="s">
        <v>41</v>
      </c>
      <c r="F179">
        <v>270</v>
      </c>
      <c r="G179" s="3">
        <v>2</v>
      </c>
      <c r="H179">
        <v>3672</v>
      </c>
      <c r="I179" t="s">
        <v>121</v>
      </c>
      <c r="J179">
        <v>13</v>
      </c>
      <c r="K179">
        <v>16</v>
      </c>
      <c r="L179">
        <v>8</v>
      </c>
      <c r="M179">
        <v>5</v>
      </c>
    </row>
    <row r="180" spans="1:13" x14ac:dyDescent="0.25">
      <c r="A180">
        <v>179</v>
      </c>
      <c r="B180">
        <v>9</v>
      </c>
      <c r="C180">
        <v>11</v>
      </c>
      <c r="D180" s="2">
        <v>42151.133506944447</v>
      </c>
      <c r="E180" t="s">
        <v>41</v>
      </c>
      <c r="F180">
        <v>0</v>
      </c>
      <c r="G180" s="3">
        <v>3</v>
      </c>
      <c r="H180">
        <v>3618</v>
      </c>
      <c r="I180" t="s">
        <v>121</v>
      </c>
      <c r="J180">
        <v>15</v>
      </c>
      <c r="K180">
        <v>13</v>
      </c>
      <c r="L180">
        <v>6</v>
      </c>
      <c r="M180">
        <v>8</v>
      </c>
    </row>
    <row r="181" spans="1:13" x14ac:dyDescent="0.25">
      <c r="A181">
        <v>180</v>
      </c>
      <c r="B181">
        <v>9</v>
      </c>
      <c r="C181">
        <v>13</v>
      </c>
      <c r="D181" s="2">
        <v>42148.046180555553</v>
      </c>
      <c r="E181" t="s">
        <v>41</v>
      </c>
      <c r="F181">
        <v>0</v>
      </c>
      <c r="G181" s="3">
        <v>4</v>
      </c>
      <c r="H181">
        <v>3433</v>
      </c>
      <c r="I181" t="s">
        <v>121</v>
      </c>
      <c r="J181">
        <v>16</v>
      </c>
      <c r="K181">
        <v>15</v>
      </c>
      <c r="L181">
        <v>5</v>
      </c>
      <c r="M181">
        <v>6</v>
      </c>
    </row>
    <row r="182" spans="1:13" x14ac:dyDescent="0.25">
      <c r="A182">
        <v>181</v>
      </c>
      <c r="B182">
        <v>9</v>
      </c>
      <c r="C182">
        <v>12</v>
      </c>
      <c r="D182" s="2">
        <v>42145.281782407408</v>
      </c>
      <c r="E182" t="s">
        <v>41</v>
      </c>
      <c r="F182">
        <v>60</v>
      </c>
      <c r="G182" s="3">
        <v>5</v>
      </c>
      <c r="H182">
        <v>0</v>
      </c>
      <c r="I182" t="s">
        <v>120</v>
      </c>
    </row>
    <row r="183" spans="1:13" x14ac:dyDescent="0.25">
      <c r="A183">
        <v>182</v>
      </c>
      <c r="B183">
        <v>9</v>
      </c>
      <c r="C183">
        <v>7</v>
      </c>
      <c r="D183" s="2">
        <v>42146.592129629629</v>
      </c>
      <c r="E183" t="s">
        <v>41</v>
      </c>
      <c r="F183">
        <v>0</v>
      </c>
      <c r="G183" s="3">
        <v>6</v>
      </c>
      <c r="H183">
        <v>3382</v>
      </c>
      <c r="I183" t="s">
        <v>121</v>
      </c>
      <c r="J183">
        <v>18</v>
      </c>
      <c r="K183">
        <v>17</v>
      </c>
      <c r="L183">
        <v>3</v>
      </c>
      <c r="M183">
        <v>4</v>
      </c>
    </row>
    <row r="184" spans="1:13" x14ac:dyDescent="0.25">
      <c r="A184">
        <v>183</v>
      </c>
      <c r="B184">
        <v>9</v>
      </c>
      <c r="C184">
        <v>6</v>
      </c>
      <c r="D184" s="2">
        <v>42146.464988425927</v>
      </c>
      <c r="E184" t="s">
        <v>41</v>
      </c>
      <c r="F184">
        <v>60</v>
      </c>
      <c r="G184" s="3">
        <v>7</v>
      </c>
      <c r="H184">
        <v>0</v>
      </c>
      <c r="I184" t="s">
        <v>120</v>
      </c>
    </row>
    <row r="185" spans="1:13" x14ac:dyDescent="0.25">
      <c r="A185">
        <v>184</v>
      </c>
      <c r="B185">
        <v>9</v>
      </c>
      <c r="C185">
        <v>25</v>
      </c>
      <c r="D185" s="2">
        <v>42149.711354166669</v>
      </c>
      <c r="E185" t="s">
        <v>41</v>
      </c>
      <c r="F185">
        <v>150</v>
      </c>
      <c r="G185" s="3">
        <v>8</v>
      </c>
      <c r="H185">
        <v>3347</v>
      </c>
      <c r="I185" t="s">
        <v>121</v>
      </c>
      <c r="J185">
        <v>20</v>
      </c>
      <c r="K185">
        <v>19</v>
      </c>
      <c r="L185">
        <v>1</v>
      </c>
      <c r="M185">
        <v>2</v>
      </c>
    </row>
    <row r="186" spans="1:13" x14ac:dyDescent="0.25">
      <c r="A186">
        <v>185</v>
      </c>
      <c r="B186">
        <v>9</v>
      </c>
      <c r="C186">
        <v>21</v>
      </c>
      <c r="D186" s="2">
        <v>42145.652986111112</v>
      </c>
      <c r="E186" t="s">
        <v>41</v>
      </c>
      <c r="F186">
        <v>120</v>
      </c>
      <c r="G186" s="3">
        <v>9</v>
      </c>
      <c r="H186">
        <v>3628</v>
      </c>
      <c r="I186" t="s">
        <v>121</v>
      </c>
      <c r="J186">
        <v>14</v>
      </c>
      <c r="K186">
        <v>14</v>
      </c>
      <c r="L186">
        <v>7</v>
      </c>
      <c r="M186">
        <v>7</v>
      </c>
    </row>
    <row r="187" spans="1:13" x14ac:dyDescent="0.25">
      <c r="A187">
        <v>186</v>
      </c>
      <c r="B187">
        <v>9</v>
      </c>
      <c r="C187">
        <v>4</v>
      </c>
      <c r="D187" s="2">
        <v>42147.261273148149</v>
      </c>
      <c r="E187" t="s">
        <v>41</v>
      </c>
      <c r="F187">
        <v>90</v>
      </c>
      <c r="G187" s="3">
        <v>10</v>
      </c>
      <c r="H187">
        <v>3419</v>
      </c>
      <c r="I187" t="s">
        <v>121</v>
      </c>
      <c r="J187">
        <v>17</v>
      </c>
      <c r="K187">
        <v>18</v>
      </c>
      <c r="L187">
        <v>4</v>
      </c>
      <c r="M187">
        <v>3</v>
      </c>
    </row>
    <row r="188" spans="1:13" x14ac:dyDescent="0.25">
      <c r="A188">
        <v>187</v>
      </c>
      <c r="B188">
        <v>9</v>
      </c>
      <c r="C188">
        <v>20</v>
      </c>
      <c r="D188" s="2">
        <v>42150.130856481483</v>
      </c>
      <c r="E188" t="s">
        <v>41</v>
      </c>
      <c r="F188">
        <v>60</v>
      </c>
      <c r="G188" s="3">
        <v>11</v>
      </c>
      <c r="H188">
        <v>0</v>
      </c>
      <c r="I188" t="s">
        <v>117</v>
      </c>
    </row>
    <row r="189" spans="1:13" x14ac:dyDescent="0.25">
      <c r="A189">
        <v>188</v>
      </c>
      <c r="B189">
        <v>10</v>
      </c>
      <c r="C189">
        <v>5</v>
      </c>
      <c r="D189" s="2">
        <v>42156.951423611114</v>
      </c>
      <c r="E189" t="s">
        <v>41</v>
      </c>
      <c r="F189">
        <v>90</v>
      </c>
      <c r="G189" s="3">
        <v>1</v>
      </c>
      <c r="H189">
        <v>1446</v>
      </c>
      <c r="I189" t="s">
        <v>121</v>
      </c>
      <c r="J189">
        <v>7</v>
      </c>
      <c r="K189">
        <v>8</v>
      </c>
      <c r="L189">
        <v>14</v>
      </c>
      <c r="M189">
        <v>13</v>
      </c>
    </row>
    <row r="190" spans="1:13" x14ac:dyDescent="0.25">
      <c r="A190">
        <v>189</v>
      </c>
      <c r="B190">
        <v>10</v>
      </c>
      <c r="C190">
        <v>19</v>
      </c>
      <c r="D190" s="2">
        <v>42152.46366898148</v>
      </c>
      <c r="E190" t="s">
        <v>41</v>
      </c>
      <c r="F190">
        <v>300</v>
      </c>
      <c r="G190" s="3">
        <v>2</v>
      </c>
      <c r="H190">
        <v>1303</v>
      </c>
      <c r="I190" t="s">
        <v>121</v>
      </c>
      <c r="J190">
        <v>19</v>
      </c>
      <c r="K190">
        <v>20</v>
      </c>
      <c r="L190">
        <v>2</v>
      </c>
      <c r="M190">
        <v>1</v>
      </c>
    </row>
    <row r="191" spans="1:13" x14ac:dyDescent="0.25">
      <c r="A191">
        <v>190</v>
      </c>
      <c r="B191">
        <v>10</v>
      </c>
      <c r="C191">
        <v>4</v>
      </c>
      <c r="D191" s="2">
        <v>42153.069837962961</v>
      </c>
      <c r="E191" t="s">
        <v>41</v>
      </c>
      <c r="F191">
        <v>150</v>
      </c>
      <c r="G191" s="3">
        <v>3</v>
      </c>
      <c r="H191">
        <v>0</v>
      </c>
      <c r="I191" t="s">
        <v>120</v>
      </c>
    </row>
    <row r="192" spans="1:13" x14ac:dyDescent="0.25">
      <c r="A192">
        <v>191</v>
      </c>
      <c r="B192">
        <v>10</v>
      </c>
      <c r="C192">
        <v>26</v>
      </c>
      <c r="D192" s="2">
        <v>42154.224270833336</v>
      </c>
      <c r="E192" t="s">
        <v>41</v>
      </c>
      <c r="F192">
        <v>120</v>
      </c>
      <c r="G192" s="3">
        <v>4</v>
      </c>
      <c r="H192">
        <v>1391</v>
      </c>
      <c r="I192" t="s">
        <v>121</v>
      </c>
      <c r="J192">
        <v>11</v>
      </c>
      <c r="K192">
        <v>10</v>
      </c>
      <c r="L192">
        <v>10</v>
      </c>
      <c r="M192">
        <v>11</v>
      </c>
    </row>
    <row r="193" spans="1:13" x14ac:dyDescent="0.25">
      <c r="A193">
        <v>192</v>
      </c>
      <c r="B193">
        <v>10</v>
      </c>
      <c r="C193">
        <v>27</v>
      </c>
      <c r="D193" s="2">
        <v>42155.497569444444</v>
      </c>
      <c r="E193" t="s">
        <v>41</v>
      </c>
      <c r="F193">
        <v>0</v>
      </c>
      <c r="G193" s="3">
        <v>5</v>
      </c>
      <c r="H193">
        <v>1375</v>
      </c>
      <c r="I193" t="s">
        <v>121</v>
      </c>
      <c r="J193">
        <v>13</v>
      </c>
      <c r="K193">
        <v>6</v>
      </c>
      <c r="L193">
        <v>8</v>
      </c>
      <c r="M193">
        <v>15</v>
      </c>
    </row>
    <row r="194" spans="1:13" x14ac:dyDescent="0.25">
      <c r="A194">
        <v>193</v>
      </c>
      <c r="B194">
        <v>10</v>
      </c>
      <c r="C194">
        <v>21</v>
      </c>
      <c r="D194" s="2">
        <v>42157.688032407408</v>
      </c>
      <c r="E194" t="s">
        <v>41</v>
      </c>
      <c r="F194">
        <v>300</v>
      </c>
      <c r="G194" s="3">
        <v>6</v>
      </c>
      <c r="H194">
        <v>0</v>
      </c>
      <c r="I194" t="s">
        <v>120</v>
      </c>
    </row>
    <row r="195" spans="1:13" x14ac:dyDescent="0.25">
      <c r="A195">
        <v>194</v>
      </c>
      <c r="B195">
        <v>10</v>
      </c>
      <c r="C195">
        <v>30</v>
      </c>
      <c r="D195" s="2">
        <v>42154.152141203704</v>
      </c>
      <c r="E195" t="s">
        <v>41</v>
      </c>
      <c r="F195">
        <v>90</v>
      </c>
      <c r="G195" s="3">
        <v>7</v>
      </c>
      <c r="H195">
        <v>1394</v>
      </c>
      <c r="I195" t="s">
        <v>121</v>
      </c>
      <c r="J195">
        <v>10</v>
      </c>
      <c r="K195">
        <v>9</v>
      </c>
      <c r="L195">
        <v>11</v>
      </c>
      <c r="M195">
        <v>12</v>
      </c>
    </row>
    <row r="196" spans="1:13" x14ac:dyDescent="0.25">
      <c r="A196">
        <v>195</v>
      </c>
      <c r="B196">
        <v>10</v>
      </c>
      <c r="C196">
        <v>17</v>
      </c>
      <c r="D196" s="2">
        <v>42153.412256944444</v>
      </c>
      <c r="E196" t="s">
        <v>41</v>
      </c>
      <c r="F196">
        <v>180</v>
      </c>
      <c r="G196" s="3">
        <v>8</v>
      </c>
      <c r="H196">
        <v>1434</v>
      </c>
      <c r="I196" t="s">
        <v>121</v>
      </c>
      <c r="J196">
        <v>9</v>
      </c>
      <c r="K196">
        <v>11</v>
      </c>
      <c r="L196">
        <v>12</v>
      </c>
      <c r="M196">
        <v>10</v>
      </c>
    </row>
    <row r="197" spans="1:13" x14ac:dyDescent="0.25">
      <c r="A197">
        <v>196</v>
      </c>
      <c r="B197">
        <v>10</v>
      </c>
      <c r="C197">
        <v>20</v>
      </c>
      <c r="D197" s="2">
        <v>42153.630011574074</v>
      </c>
      <c r="E197" t="s">
        <v>41</v>
      </c>
      <c r="F197">
        <v>30</v>
      </c>
      <c r="G197" s="3">
        <v>9</v>
      </c>
      <c r="H197">
        <v>0</v>
      </c>
      <c r="I197" t="s">
        <v>117</v>
      </c>
    </row>
    <row r="198" spans="1:13" x14ac:dyDescent="0.25">
      <c r="A198">
        <v>197</v>
      </c>
      <c r="B198">
        <v>10</v>
      </c>
      <c r="C198">
        <v>29</v>
      </c>
      <c r="D198" s="2">
        <v>42154.714004629626</v>
      </c>
      <c r="E198" t="s">
        <v>41</v>
      </c>
      <c r="F198">
        <v>90</v>
      </c>
      <c r="G198" s="3">
        <v>10</v>
      </c>
      <c r="H198">
        <v>1283</v>
      </c>
      <c r="I198" t="s">
        <v>121</v>
      </c>
      <c r="J198">
        <v>20</v>
      </c>
      <c r="K198">
        <v>15</v>
      </c>
      <c r="L198">
        <v>1</v>
      </c>
      <c r="M198">
        <v>6</v>
      </c>
    </row>
    <row r="199" spans="1:13" x14ac:dyDescent="0.25">
      <c r="A199">
        <v>198</v>
      </c>
      <c r="B199">
        <v>10</v>
      </c>
      <c r="C199">
        <v>3</v>
      </c>
      <c r="D199" s="2">
        <v>42153.669039351851</v>
      </c>
      <c r="E199" t="s">
        <v>41</v>
      </c>
      <c r="F199">
        <v>90</v>
      </c>
      <c r="G199" s="3">
        <v>11</v>
      </c>
      <c r="H199">
        <v>1454</v>
      </c>
      <c r="I199" t="s">
        <v>121</v>
      </c>
      <c r="J199">
        <v>6</v>
      </c>
      <c r="K199">
        <v>7</v>
      </c>
      <c r="L199">
        <v>15</v>
      </c>
      <c r="M199">
        <v>14</v>
      </c>
    </row>
    <row r="200" spans="1:13" x14ac:dyDescent="0.25">
      <c r="A200">
        <v>199</v>
      </c>
      <c r="B200">
        <v>10</v>
      </c>
      <c r="C200">
        <v>6</v>
      </c>
      <c r="D200" s="2">
        <v>42157.874074074076</v>
      </c>
      <c r="E200" t="s">
        <v>41</v>
      </c>
      <c r="F200">
        <v>150</v>
      </c>
      <c r="G200" s="3">
        <v>12</v>
      </c>
      <c r="H200">
        <v>1382</v>
      </c>
      <c r="I200" t="s">
        <v>121</v>
      </c>
      <c r="J200">
        <v>12</v>
      </c>
      <c r="K200">
        <v>13</v>
      </c>
      <c r="L200">
        <v>9</v>
      </c>
      <c r="M200">
        <v>8</v>
      </c>
    </row>
    <row r="201" spans="1:13" x14ac:dyDescent="0.25">
      <c r="A201">
        <v>200</v>
      </c>
      <c r="B201">
        <v>10</v>
      </c>
      <c r="C201">
        <v>14</v>
      </c>
      <c r="D201" s="2">
        <v>42155.82912037037</v>
      </c>
      <c r="E201" t="s">
        <v>41</v>
      </c>
      <c r="F201">
        <v>240</v>
      </c>
      <c r="G201" s="3">
        <v>13</v>
      </c>
      <c r="H201">
        <v>1360</v>
      </c>
      <c r="I201" t="s">
        <v>121</v>
      </c>
      <c r="J201">
        <v>15</v>
      </c>
      <c r="K201">
        <v>18</v>
      </c>
      <c r="L201">
        <v>6</v>
      </c>
      <c r="M201">
        <v>3</v>
      </c>
    </row>
    <row r="202" spans="1:13" x14ac:dyDescent="0.25">
      <c r="A202">
        <v>201</v>
      </c>
      <c r="B202">
        <v>10</v>
      </c>
      <c r="C202">
        <v>10</v>
      </c>
      <c r="D202" s="2">
        <v>42152.782766203702</v>
      </c>
      <c r="E202" t="s">
        <v>41</v>
      </c>
      <c r="F202">
        <v>240</v>
      </c>
      <c r="G202" s="3">
        <v>14</v>
      </c>
      <c r="H202">
        <v>1339</v>
      </c>
      <c r="I202" t="s">
        <v>121</v>
      </c>
      <c r="J202">
        <v>17</v>
      </c>
      <c r="K202">
        <v>19</v>
      </c>
      <c r="L202">
        <v>4</v>
      </c>
      <c r="M202">
        <v>2</v>
      </c>
    </row>
    <row r="203" spans="1:13" x14ac:dyDescent="0.25">
      <c r="A203">
        <v>202</v>
      </c>
      <c r="B203">
        <v>10</v>
      </c>
      <c r="C203">
        <v>7</v>
      </c>
      <c r="D203" s="2">
        <v>42156.987812500003</v>
      </c>
      <c r="E203" t="s">
        <v>41</v>
      </c>
      <c r="F203">
        <v>300</v>
      </c>
      <c r="G203" s="3">
        <v>15</v>
      </c>
      <c r="H203">
        <v>1459</v>
      </c>
      <c r="I203" t="s">
        <v>121</v>
      </c>
      <c r="J203">
        <v>5</v>
      </c>
      <c r="K203">
        <v>16</v>
      </c>
      <c r="L203">
        <v>16</v>
      </c>
      <c r="M203">
        <v>5</v>
      </c>
    </row>
    <row r="204" spans="1:13" x14ac:dyDescent="0.25">
      <c r="A204">
        <v>203</v>
      </c>
      <c r="B204">
        <v>10</v>
      </c>
      <c r="C204">
        <v>2</v>
      </c>
      <c r="D204" s="2">
        <v>42155.901180555556</v>
      </c>
      <c r="E204" t="s">
        <v>41</v>
      </c>
      <c r="F204">
        <v>60</v>
      </c>
      <c r="G204" s="3">
        <v>16</v>
      </c>
      <c r="H204">
        <v>1438</v>
      </c>
      <c r="I204" t="s">
        <v>121</v>
      </c>
      <c r="J204">
        <v>8</v>
      </c>
      <c r="K204">
        <v>5</v>
      </c>
      <c r="L204">
        <v>13</v>
      </c>
      <c r="M204">
        <v>16</v>
      </c>
    </row>
    <row r="205" spans="1:13" x14ac:dyDescent="0.25">
      <c r="A205">
        <v>204</v>
      </c>
      <c r="B205">
        <v>10</v>
      </c>
      <c r="C205">
        <v>28</v>
      </c>
      <c r="D205" s="2">
        <v>42152.106215277781</v>
      </c>
      <c r="E205" t="s">
        <v>41</v>
      </c>
      <c r="F205">
        <v>120</v>
      </c>
      <c r="G205" s="3">
        <v>17</v>
      </c>
      <c r="H205">
        <v>1365</v>
      </c>
      <c r="I205" t="s">
        <v>121</v>
      </c>
      <c r="J205">
        <v>14</v>
      </c>
      <c r="K205">
        <v>12</v>
      </c>
      <c r="L205">
        <v>7</v>
      </c>
      <c r="M205">
        <v>9</v>
      </c>
    </row>
    <row r="206" spans="1:13" x14ac:dyDescent="0.25">
      <c r="A206">
        <v>205</v>
      </c>
      <c r="B206">
        <v>10</v>
      </c>
      <c r="C206">
        <v>16</v>
      </c>
      <c r="D206" s="2">
        <v>42156.060567129629</v>
      </c>
      <c r="E206" t="s">
        <v>41</v>
      </c>
      <c r="F206">
        <v>120</v>
      </c>
      <c r="G206" s="3">
        <v>18</v>
      </c>
      <c r="H206">
        <v>1344</v>
      </c>
      <c r="I206" t="s">
        <v>121</v>
      </c>
      <c r="J206">
        <v>16</v>
      </c>
      <c r="K206">
        <v>14</v>
      </c>
      <c r="L206">
        <v>5</v>
      </c>
      <c r="M206">
        <v>7</v>
      </c>
    </row>
    <row r="207" spans="1:13" x14ac:dyDescent="0.25">
      <c r="A207">
        <v>206</v>
      </c>
      <c r="B207">
        <v>10</v>
      </c>
      <c r="C207">
        <v>24</v>
      </c>
      <c r="D207" s="2">
        <v>42154.973935185182</v>
      </c>
      <c r="E207" t="s">
        <v>41</v>
      </c>
      <c r="F207">
        <v>180</v>
      </c>
      <c r="G207" s="3">
        <v>19</v>
      </c>
      <c r="H207">
        <v>1322</v>
      </c>
      <c r="I207" t="s">
        <v>121</v>
      </c>
      <c r="J207">
        <v>18</v>
      </c>
      <c r="K207">
        <v>17</v>
      </c>
      <c r="L207">
        <v>3</v>
      </c>
      <c r="M207">
        <v>4</v>
      </c>
    </row>
    <row r="208" spans="1:13" x14ac:dyDescent="0.25">
      <c r="A208">
        <v>207</v>
      </c>
      <c r="B208">
        <v>11</v>
      </c>
      <c r="C208">
        <v>8</v>
      </c>
      <c r="D208" s="2">
        <v>42161.236122685186</v>
      </c>
      <c r="E208" t="s">
        <v>41</v>
      </c>
      <c r="F208">
        <v>150</v>
      </c>
      <c r="G208" s="3">
        <v>1</v>
      </c>
      <c r="H208">
        <v>1466</v>
      </c>
      <c r="I208" t="s">
        <v>121</v>
      </c>
      <c r="J208">
        <v>16</v>
      </c>
      <c r="K208">
        <v>16</v>
      </c>
      <c r="L208">
        <v>5</v>
      </c>
      <c r="M208">
        <v>5</v>
      </c>
    </row>
    <row r="209" spans="1:13" x14ac:dyDescent="0.25">
      <c r="A209">
        <v>208</v>
      </c>
      <c r="B209">
        <v>11</v>
      </c>
      <c r="C209">
        <v>13</v>
      </c>
      <c r="D209" s="2">
        <v>42158.802743055552</v>
      </c>
      <c r="E209" t="s">
        <v>41</v>
      </c>
      <c r="F209">
        <v>30</v>
      </c>
      <c r="G209" s="3">
        <v>2</v>
      </c>
      <c r="H209">
        <v>1392</v>
      </c>
      <c r="I209" t="s">
        <v>121</v>
      </c>
      <c r="J209">
        <v>18</v>
      </c>
      <c r="K209">
        <v>15</v>
      </c>
      <c r="L209">
        <v>3</v>
      </c>
      <c r="M209">
        <v>6</v>
      </c>
    </row>
    <row r="210" spans="1:13" x14ac:dyDescent="0.25">
      <c r="A210">
        <v>209</v>
      </c>
      <c r="B210">
        <v>11</v>
      </c>
      <c r="C210">
        <v>27</v>
      </c>
      <c r="D210" s="2">
        <v>42162.00708333333</v>
      </c>
      <c r="E210" t="s">
        <v>41</v>
      </c>
      <c r="F210">
        <v>90</v>
      </c>
      <c r="G210" s="3">
        <v>3</v>
      </c>
      <c r="H210">
        <v>1370</v>
      </c>
      <c r="I210" t="s">
        <v>121</v>
      </c>
      <c r="J210">
        <v>20</v>
      </c>
      <c r="K210">
        <v>18</v>
      </c>
      <c r="L210">
        <v>1</v>
      </c>
      <c r="M210">
        <v>3</v>
      </c>
    </row>
    <row r="211" spans="1:13" x14ac:dyDescent="0.25">
      <c r="A211">
        <v>210</v>
      </c>
      <c r="B211">
        <v>11</v>
      </c>
      <c r="C211">
        <v>30</v>
      </c>
      <c r="D211" s="2">
        <v>42159.962118055555</v>
      </c>
      <c r="E211" t="s">
        <v>41</v>
      </c>
      <c r="F211">
        <v>180</v>
      </c>
      <c r="G211" s="3">
        <v>4</v>
      </c>
      <c r="H211">
        <v>1493</v>
      </c>
      <c r="I211" t="s">
        <v>121</v>
      </c>
      <c r="J211">
        <v>14</v>
      </c>
      <c r="K211">
        <v>17</v>
      </c>
      <c r="L211">
        <v>7</v>
      </c>
      <c r="M211">
        <v>4</v>
      </c>
    </row>
    <row r="212" spans="1:13" x14ac:dyDescent="0.25">
      <c r="A212">
        <v>211</v>
      </c>
      <c r="B212">
        <v>11</v>
      </c>
      <c r="C212">
        <v>23</v>
      </c>
      <c r="D212" s="2">
        <v>42164.875497685185</v>
      </c>
      <c r="E212" t="s">
        <v>41</v>
      </c>
      <c r="F212">
        <v>270</v>
      </c>
      <c r="G212" s="3">
        <v>5</v>
      </c>
      <c r="H212">
        <v>1471</v>
      </c>
      <c r="I212" t="s">
        <v>121</v>
      </c>
      <c r="J212">
        <v>15</v>
      </c>
      <c r="K212">
        <v>19</v>
      </c>
      <c r="L212">
        <v>6</v>
      </c>
      <c r="M212">
        <v>2</v>
      </c>
    </row>
    <row r="213" spans="1:13" x14ac:dyDescent="0.25">
      <c r="A213">
        <v>212</v>
      </c>
      <c r="B213">
        <v>11</v>
      </c>
      <c r="C213">
        <v>19</v>
      </c>
      <c r="D213" s="2">
        <v>42163.122199074074</v>
      </c>
      <c r="E213" t="s">
        <v>41</v>
      </c>
      <c r="F213">
        <v>270</v>
      </c>
      <c r="G213" s="3">
        <v>6</v>
      </c>
      <c r="H213">
        <v>1397</v>
      </c>
      <c r="I213" t="s">
        <v>121</v>
      </c>
      <c r="J213">
        <v>17</v>
      </c>
      <c r="K213">
        <v>20</v>
      </c>
      <c r="L213">
        <v>4</v>
      </c>
      <c r="M213">
        <v>1</v>
      </c>
    </row>
    <row r="214" spans="1:13" x14ac:dyDescent="0.25">
      <c r="A214">
        <v>213</v>
      </c>
      <c r="B214">
        <v>11</v>
      </c>
      <c r="C214">
        <v>10</v>
      </c>
      <c r="D214" s="2">
        <v>42160.076550925929</v>
      </c>
      <c r="E214" t="s">
        <v>41</v>
      </c>
      <c r="F214">
        <v>0</v>
      </c>
      <c r="G214" s="3">
        <v>7</v>
      </c>
      <c r="H214">
        <v>1375</v>
      </c>
      <c r="I214" t="s">
        <v>121</v>
      </c>
      <c r="J214">
        <v>19</v>
      </c>
      <c r="K214">
        <v>14</v>
      </c>
      <c r="L214">
        <v>2</v>
      </c>
      <c r="M214">
        <v>7</v>
      </c>
    </row>
    <row r="215" spans="1:13" x14ac:dyDescent="0.25">
      <c r="A215">
        <v>214</v>
      </c>
      <c r="B215">
        <v>11</v>
      </c>
      <c r="C215">
        <v>17</v>
      </c>
      <c r="D215" s="2">
        <v>42157.990104166667</v>
      </c>
      <c r="E215" t="s">
        <v>41</v>
      </c>
      <c r="F215">
        <v>60</v>
      </c>
      <c r="G215" s="3">
        <v>8</v>
      </c>
      <c r="H215">
        <v>0</v>
      </c>
      <c r="I215" t="s">
        <v>120</v>
      </c>
    </row>
    <row r="216" spans="1:13" x14ac:dyDescent="0.25">
      <c r="A216">
        <v>215</v>
      </c>
      <c r="B216">
        <v>12</v>
      </c>
      <c r="C216">
        <v>8</v>
      </c>
      <c r="D216" s="2">
        <v>42166.259247685186</v>
      </c>
      <c r="E216" t="s">
        <v>41</v>
      </c>
      <c r="F216">
        <v>0</v>
      </c>
      <c r="G216" s="3">
        <v>1</v>
      </c>
      <c r="H216">
        <v>1402</v>
      </c>
      <c r="I216" t="s">
        <v>121</v>
      </c>
      <c r="J216">
        <v>15</v>
      </c>
      <c r="K216">
        <v>15</v>
      </c>
      <c r="L216">
        <v>6</v>
      </c>
      <c r="M216">
        <v>6</v>
      </c>
    </row>
    <row r="217" spans="1:13" x14ac:dyDescent="0.25">
      <c r="A217">
        <v>216</v>
      </c>
      <c r="B217">
        <v>12</v>
      </c>
      <c r="C217">
        <v>14</v>
      </c>
      <c r="D217" s="2">
        <v>42165.840439814812</v>
      </c>
      <c r="E217" t="s">
        <v>41</v>
      </c>
      <c r="F217">
        <v>60</v>
      </c>
      <c r="G217" s="3">
        <v>2</v>
      </c>
      <c r="H217">
        <v>0</v>
      </c>
      <c r="I217" t="s">
        <v>120</v>
      </c>
    </row>
    <row r="218" spans="1:13" x14ac:dyDescent="0.25">
      <c r="A218">
        <v>217</v>
      </c>
      <c r="B218">
        <v>12</v>
      </c>
      <c r="C218">
        <v>2</v>
      </c>
      <c r="D218" s="2">
        <v>42165.769004629627</v>
      </c>
      <c r="E218" t="s">
        <v>41</v>
      </c>
      <c r="F218">
        <v>30</v>
      </c>
      <c r="G218" s="3">
        <v>3</v>
      </c>
      <c r="H218">
        <v>1318</v>
      </c>
      <c r="I218" t="s">
        <v>121</v>
      </c>
      <c r="J218">
        <v>20</v>
      </c>
      <c r="K218">
        <v>18</v>
      </c>
      <c r="L218">
        <v>1</v>
      </c>
      <c r="M218">
        <v>3</v>
      </c>
    </row>
    <row r="219" spans="1:13" x14ac:dyDescent="0.25">
      <c r="A219">
        <v>218</v>
      </c>
      <c r="B219">
        <v>12</v>
      </c>
      <c r="C219">
        <v>4</v>
      </c>
      <c r="D219" s="2">
        <v>42167.638402777775</v>
      </c>
      <c r="E219" t="s">
        <v>41</v>
      </c>
      <c r="F219">
        <v>0</v>
      </c>
      <c r="G219" s="3">
        <v>4</v>
      </c>
      <c r="H219">
        <v>1428</v>
      </c>
      <c r="I219" t="s">
        <v>121</v>
      </c>
      <c r="J219">
        <v>14</v>
      </c>
      <c r="K219">
        <v>13</v>
      </c>
      <c r="L219">
        <v>7</v>
      </c>
      <c r="M219">
        <v>8</v>
      </c>
    </row>
    <row r="220" spans="1:13" x14ac:dyDescent="0.25">
      <c r="A220">
        <v>219</v>
      </c>
      <c r="B220">
        <v>12</v>
      </c>
      <c r="C220">
        <v>6</v>
      </c>
      <c r="D220" s="2">
        <v>42164.288368055553</v>
      </c>
      <c r="E220" t="s">
        <v>41</v>
      </c>
      <c r="F220">
        <v>300</v>
      </c>
      <c r="G220" s="3">
        <v>5</v>
      </c>
      <c r="H220">
        <v>1346</v>
      </c>
      <c r="I220" t="s">
        <v>121</v>
      </c>
      <c r="J220">
        <v>19</v>
      </c>
      <c r="K220">
        <v>20</v>
      </c>
      <c r="L220">
        <v>2</v>
      </c>
      <c r="M220">
        <v>1</v>
      </c>
    </row>
    <row r="221" spans="1:13" x14ac:dyDescent="0.25">
      <c r="A221">
        <v>220</v>
      </c>
      <c r="B221">
        <v>12</v>
      </c>
      <c r="C221">
        <v>7</v>
      </c>
      <c r="D221" s="2">
        <v>42166.146840277775</v>
      </c>
      <c r="E221" t="s">
        <v>41</v>
      </c>
      <c r="F221">
        <v>270</v>
      </c>
      <c r="G221" s="3">
        <v>6</v>
      </c>
      <c r="H221">
        <v>0</v>
      </c>
      <c r="I221" t="s">
        <v>117</v>
      </c>
    </row>
    <row r="222" spans="1:13" x14ac:dyDescent="0.25">
      <c r="A222">
        <v>221</v>
      </c>
      <c r="B222">
        <v>12</v>
      </c>
      <c r="C222">
        <v>21</v>
      </c>
      <c r="D222" s="2">
        <v>42170.909062500003</v>
      </c>
      <c r="E222" t="s">
        <v>41</v>
      </c>
      <c r="F222">
        <v>30</v>
      </c>
      <c r="G222" s="3">
        <v>7</v>
      </c>
      <c r="H222">
        <v>1444</v>
      </c>
      <c r="I222" t="s">
        <v>121</v>
      </c>
      <c r="J222">
        <v>13</v>
      </c>
      <c r="K222">
        <v>14</v>
      </c>
      <c r="L222">
        <v>8</v>
      </c>
      <c r="M222">
        <v>7</v>
      </c>
    </row>
    <row r="223" spans="1:13" x14ac:dyDescent="0.25">
      <c r="A223">
        <v>222</v>
      </c>
      <c r="B223">
        <v>12</v>
      </c>
      <c r="C223">
        <v>15</v>
      </c>
      <c r="D223" s="2">
        <v>42164.212962962964</v>
      </c>
      <c r="E223" t="s">
        <v>41</v>
      </c>
      <c r="F223">
        <v>300</v>
      </c>
      <c r="G223" s="3">
        <v>8</v>
      </c>
      <c r="H223">
        <v>0</v>
      </c>
      <c r="I223" t="s">
        <v>117</v>
      </c>
    </row>
    <row r="224" spans="1:13" x14ac:dyDescent="0.25">
      <c r="A224">
        <v>223</v>
      </c>
      <c r="B224">
        <v>12</v>
      </c>
      <c r="C224">
        <v>22</v>
      </c>
      <c r="D224" s="2">
        <v>42169.124849537038</v>
      </c>
      <c r="E224" t="s">
        <v>41</v>
      </c>
      <c r="F224">
        <v>90</v>
      </c>
      <c r="G224" s="3">
        <v>9</v>
      </c>
      <c r="H224">
        <v>1387</v>
      </c>
      <c r="I224" t="s">
        <v>121</v>
      </c>
      <c r="J224">
        <v>16</v>
      </c>
      <c r="K224">
        <v>17</v>
      </c>
      <c r="L224">
        <v>5</v>
      </c>
      <c r="M224">
        <v>4</v>
      </c>
    </row>
    <row r="225" spans="1:13" x14ac:dyDescent="0.25">
      <c r="A225">
        <v>224</v>
      </c>
      <c r="B225">
        <v>12</v>
      </c>
      <c r="C225">
        <v>13</v>
      </c>
      <c r="D225" s="2">
        <v>42169.342604166668</v>
      </c>
      <c r="E225" t="s">
        <v>41</v>
      </c>
      <c r="F225">
        <v>300</v>
      </c>
      <c r="G225" s="3">
        <v>10</v>
      </c>
      <c r="H225">
        <v>1375</v>
      </c>
      <c r="I225" t="s">
        <v>121</v>
      </c>
      <c r="J225">
        <v>17</v>
      </c>
      <c r="K225">
        <v>19</v>
      </c>
      <c r="L225">
        <v>4</v>
      </c>
      <c r="M225">
        <v>2</v>
      </c>
    </row>
    <row r="226" spans="1:13" x14ac:dyDescent="0.25">
      <c r="A226">
        <v>225</v>
      </c>
      <c r="B226">
        <v>12</v>
      </c>
      <c r="C226">
        <v>1</v>
      </c>
      <c r="D226" s="2">
        <v>42168.602719907409</v>
      </c>
      <c r="E226" t="s">
        <v>41</v>
      </c>
      <c r="F226">
        <v>60</v>
      </c>
      <c r="G226" s="3">
        <v>11</v>
      </c>
      <c r="H226">
        <v>1364</v>
      </c>
      <c r="I226" t="s">
        <v>121</v>
      </c>
      <c r="J226">
        <v>18</v>
      </c>
      <c r="K226">
        <v>16</v>
      </c>
      <c r="L226">
        <v>3</v>
      </c>
      <c r="M226">
        <v>5</v>
      </c>
    </row>
    <row r="227" spans="1:13" x14ac:dyDescent="0.25">
      <c r="A227">
        <v>226</v>
      </c>
      <c r="B227">
        <v>13</v>
      </c>
      <c r="C227">
        <v>15</v>
      </c>
      <c r="D227" s="2">
        <v>42172.878136574072</v>
      </c>
      <c r="E227" t="s">
        <v>41</v>
      </c>
      <c r="F227">
        <v>120</v>
      </c>
      <c r="G227" s="3">
        <v>1</v>
      </c>
      <c r="H227">
        <v>1648</v>
      </c>
      <c r="I227" t="s">
        <v>121</v>
      </c>
      <c r="J227">
        <v>10</v>
      </c>
      <c r="K227">
        <v>11</v>
      </c>
      <c r="L227">
        <v>11</v>
      </c>
      <c r="M227">
        <v>10</v>
      </c>
    </row>
    <row r="228" spans="1:13" x14ac:dyDescent="0.25">
      <c r="A228">
        <v>227</v>
      </c>
      <c r="B228">
        <v>13</v>
      </c>
      <c r="C228">
        <v>17</v>
      </c>
      <c r="D228" s="2">
        <v>42171.137569444443</v>
      </c>
      <c r="E228" t="s">
        <v>41</v>
      </c>
      <c r="F228">
        <v>240</v>
      </c>
      <c r="G228" s="3">
        <v>2</v>
      </c>
      <c r="H228">
        <v>1694</v>
      </c>
      <c r="I228" t="s">
        <v>121</v>
      </c>
      <c r="J228">
        <v>4</v>
      </c>
      <c r="K228">
        <v>14</v>
      </c>
      <c r="L228">
        <v>17</v>
      </c>
      <c r="M228">
        <v>7</v>
      </c>
    </row>
    <row r="229" spans="1:13" x14ac:dyDescent="0.25">
      <c r="A229">
        <v>228</v>
      </c>
      <c r="B229">
        <v>13</v>
      </c>
      <c r="C229">
        <v>30</v>
      </c>
      <c r="D229" s="2">
        <v>42178.397685185184</v>
      </c>
      <c r="E229" t="s">
        <v>41</v>
      </c>
      <c r="F229">
        <v>60</v>
      </c>
      <c r="G229" s="3">
        <v>3</v>
      </c>
      <c r="H229">
        <v>1681</v>
      </c>
      <c r="I229" t="s">
        <v>121</v>
      </c>
      <c r="J229">
        <v>6</v>
      </c>
      <c r="K229">
        <v>5</v>
      </c>
      <c r="L229">
        <v>15</v>
      </c>
      <c r="M229">
        <v>16</v>
      </c>
    </row>
    <row r="230" spans="1:13" x14ac:dyDescent="0.25">
      <c r="A230">
        <v>229</v>
      </c>
      <c r="B230">
        <v>13</v>
      </c>
      <c r="C230">
        <v>27</v>
      </c>
      <c r="D230" s="2">
        <v>42177.948078703703</v>
      </c>
      <c r="E230" t="s">
        <v>41</v>
      </c>
      <c r="F230">
        <v>150</v>
      </c>
      <c r="G230" s="3">
        <v>4</v>
      </c>
      <c r="H230">
        <v>0</v>
      </c>
      <c r="I230" t="s">
        <v>117</v>
      </c>
    </row>
    <row r="231" spans="1:13" x14ac:dyDescent="0.25">
      <c r="A231">
        <v>230</v>
      </c>
      <c r="B231">
        <v>13</v>
      </c>
      <c r="C231">
        <v>22</v>
      </c>
      <c r="D231" s="2">
        <v>42171.741087962961</v>
      </c>
      <c r="E231" t="s">
        <v>41</v>
      </c>
      <c r="F231">
        <v>240</v>
      </c>
      <c r="G231" s="3">
        <v>5</v>
      </c>
      <c r="H231">
        <v>1504</v>
      </c>
      <c r="I231" t="s">
        <v>121</v>
      </c>
      <c r="J231">
        <v>20</v>
      </c>
      <c r="K231">
        <v>19</v>
      </c>
      <c r="L231">
        <v>1</v>
      </c>
      <c r="M231">
        <v>2</v>
      </c>
    </row>
    <row r="232" spans="1:13" x14ac:dyDescent="0.25">
      <c r="A232">
        <v>231</v>
      </c>
      <c r="B232">
        <v>13</v>
      </c>
      <c r="C232">
        <v>14</v>
      </c>
      <c r="D232" s="2">
        <v>42176.935023148151</v>
      </c>
      <c r="E232" t="s">
        <v>41</v>
      </c>
      <c r="F232">
        <v>300</v>
      </c>
      <c r="G232" s="3">
        <v>6</v>
      </c>
      <c r="H232">
        <v>1705</v>
      </c>
      <c r="I232" t="s">
        <v>121</v>
      </c>
      <c r="J232">
        <v>3</v>
      </c>
      <c r="K232">
        <v>16</v>
      </c>
      <c r="L232">
        <v>18</v>
      </c>
      <c r="M232">
        <v>5</v>
      </c>
    </row>
    <row r="233" spans="1:13" x14ac:dyDescent="0.25">
      <c r="A233">
        <v>232</v>
      </c>
      <c r="B233">
        <v>13</v>
      </c>
      <c r="C233">
        <v>26</v>
      </c>
      <c r="D233" s="2">
        <v>42173.890057870369</v>
      </c>
      <c r="E233" t="s">
        <v>41</v>
      </c>
      <c r="F233">
        <v>30</v>
      </c>
      <c r="G233" s="3">
        <v>7</v>
      </c>
      <c r="H233">
        <v>1680</v>
      </c>
      <c r="I233" t="s">
        <v>121</v>
      </c>
      <c r="J233">
        <v>7</v>
      </c>
      <c r="K233">
        <v>3</v>
      </c>
      <c r="L233">
        <v>14</v>
      </c>
      <c r="M233">
        <v>18</v>
      </c>
    </row>
    <row r="234" spans="1:13" x14ac:dyDescent="0.25">
      <c r="A234">
        <v>233</v>
      </c>
      <c r="B234">
        <v>13</v>
      </c>
      <c r="C234">
        <v>28</v>
      </c>
      <c r="D234" s="2">
        <v>42172.802743055552</v>
      </c>
      <c r="E234" t="s">
        <v>41</v>
      </c>
      <c r="F234">
        <v>30</v>
      </c>
      <c r="G234" s="3">
        <v>8</v>
      </c>
      <c r="H234">
        <v>1595</v>
      </c>
      <c r="I234" t="s">
        <v>121</v>
      </c>
      <c r="J234">
        <v>14</v>
      </c>
      <c r="K234">
        <v>7</v>
      </c>
      <c r="L234">
        <v>7</v>
      </c>
      <c r="M234">
        <v>14</v>
      </c>
    </row>
    <row r="235" spans="1:13" x14ac:dyDescent="0.25">
      <c r="A235">
        <v>234</v>
      </c>
      <c r="B235">
        <v>13</v>
      </c>
      <c r="C235">
        <v>1</v>
      </c>
      <c r="D235" s="2">
        <v>42176.00708333333</v>
      </c>
      <c r="E235" t="s">
        <v>41</v>
      </c>
      <c r="F235">
        <v>90</v>
      </c>
      <c r="G235" s="3">
        <v>9</v>
      </c>
      <c r="H235">
        <v>1570</v>
      </c>
      <c r="I235" t="s">
        <v>121</v>
      </c>
      <c r="J235">
        <v>17</v>
      </c>
      <c r="K235">
        <v>13</v>
      </c>
      <c r="L235">
        <v>4</v>
      </c>
      <c r="M235">
        <v>8</v>
      </c>
    </row>
    <row r="236" spans="1:13" x14ac:dyDescent="0.25">
      <c r="A236">
        <v>235</v>
      </c>
      <c r="B236">
        <v>13</v>
      </c>
      <c r="C236">
        <v>4</v>
      </c>
      <c r="D236" s="2">
        <v>42173.962118055555</v>
      </c>
      <c r="E236" t="s">
        <v>41</v>
      </c>
      <c r="F236">
        <v>180</v>
      </c>
      <c r="G236" s="3">
        <v>10</v>
      </c>
      <c r="H236">
        <v>1711</v>
      </c>
      <c r="I236" t="s">
        <v>121</v>
      </c>
      <c r="J236">
        <v>2</v>
      </c>
      <c r="K236">
        <v>9</v>
      </c>
      <c r="L236">
        <v>19</v>
      </c>
      <c r="M236">
        <v>12</v>
      </c>
    </row>
    <row r="237" spans="1:13" x14ac:dyDescent="0.25">
      <c r="A237">
        <v>236</v>
      </c>
      <c r="B237">
        <v>13</v>
      </c>
      <c r="C237">
        <v>23</v>
      </c>
      <c r="D237" s="2">
        <v>42178.875497685185</v>
      </c>
      <c r="E237" t="s">
        <v>41</v>
      </c>
      <c r="F237">
        <v>270</v>
      </c>
      <c r="G237" s="3">
        <v>11</v>
      </c>
      <c r="H237">
        <v>1686</v>
      </c>
      <c r="I237" t="s">
        <v>121</v>
      </c>
      <c r="J237">
        <v>5</v>
      </c>
      <c r="K237">
        <v>15</v>
      </c>
      <c r="L237">
        <v>16</v>
      </c>
      <c r="M237">
        <v>6</v>
      </c>
    </row>
    <row r="238" spans="1:13" x14ac:dyDescent="0.25">
      <c r="A238">
        <v>237</v>
      </c>
      <c r="B238">
        <v>13</v>
      </c>
      <c r="C238">
        <v>7</v>
      </c>
      <c r="D238" s="2">
        <v>42177.122199074074</v>
      </c>
      <c r="E238" t="s">
        <v>41</v>
      </c>
      <c r="F238">
        <v>270</v>
      </c>
      <c r="G238" s="3">
        <v>12</v>
      </c>
      <c r="H238">
        <v>1601</v>
      </c>
      <c r="I238" t="s">
        <v>121</v>
      </c>
      <c r="J238">
        <v>13</v>
      </c>
      <c r="K238">
        <v>18</v>
      </c>
      <c r="L238">
        <v>8</v>
      </c>
      <c r="M238">
        <v>3</v>
      </c>
    </row>
    <row r="239" spans="1:13" x14ac:dyDescent="0.25">
      <c r="A239">
        <v>238</v>
      </c>
      <c r="B239">
        <v>13</v>
      </c>
      <c r="C239">
        <v>31</v>
      </c>
      <c r="D239" s="2">
        <v>42174.076550925929</v>
      </c>
      <c r="E239" t="s">
        <v>41</v>
      </c>
      <c r="F239">
        <v>0</v>
      </c>
      <c r="G239" s="3">
        <v>13</v>
      </c>
      <c r="H239">
        <v>1576</v>
      </c>
      <c r="I239" t="s">
        <v>121</v>
      </c>
      <c r="J239">
        <v>16</v>
      </c>
      <c r="K239">
        <v>6</v>
      </c>
      <c r="L239">
        <v>5</v>
      </c>
      <c r="M239">
        <v>15</v>
      </c>
    </row>
    <row r="240" spans="1:13" x14ac:dyDescent="0.25">
      <c r="A240">
        <v>239</v>
      </c>
      <c r="B240">
        <v>13</v>
      </c>
      <c r="C240">
        <v>12</v>
      </c>
      <c r="D240" s="2">
        <v>42171.990104166667</v>
      </c>
      <c r="E240" t="s">
        <v>41</v>
      </c>
      <c r="F240">
        <v>60</v>
      </c>
      <c r="G240" s="3">
        <v>14</v>
      </c>
      <c r="H240">
        <v>0</v>
      </c>
      <c r="I240" t="s">
        <v>120</v>
      </c>
    </row>
    <row r="241" spans="1:13" x14ac:dyDescent="0.25">
      <c r="A241">
        <v>240</v>
      </c>
      <c r="B241">
        <v>13</v>
      </c>
      <c r="C241">
        <v>3</v>
      </c>
      <c r="D241" s="2">
        <v>42172.592129629629</v>
      </c>
      <c r="E241" t="s">
        <v>41</v>
      </c>
      <c r="F241">
        <v>0</v>
      </c>
      <c r="G241" s="3">
        <v>15</v>
      </c>
      <c r="H241">
        <v>1718</v>
      </c>
      <c r="I241" t="s">
        <v>121</v>
      </c>
      <c r="J241">
        <v>1</v>
      </c>
      <c r="K241">
        <v>1</v>
      </c>
      <c r="L241">
        <v>20</v>
      </c>
      <c r="M241">
        <v>20</v>
      </c>
    </row>
    <row r="242" spans="1:13" x14ac:dyDescent="0.25">
      <c r="A242">
        <v>241</v>
      </c>
      <c r="B242">
        <v>13</v>
      </c>
      <c r="C242">
        <v>18</v>
      </c>
      <c r="D242" s="2">
        <v>42177.172615740739</v>
      </c>
      <c r="E242" t="s">
        <v>41</v>
      </c>
      <c r="F242">
        <v>60</v>
      </c>
      <c r="G242" s="3">
        <v>16</v>
      </c>
      <c r="H242">
        <v>1616</v>
      </c>
      <c r="I242" t="s">
        <v>121</v>
      </c>
      <c r="J242">
        <v>12</v>
      </c>
      <c r="K242">
        <v>8</v>
      </c>
      <c r="L242">
        <v>9</v>
      </c>
      <c r="M242">
        <v>13</v>
      </c>
    </row>
    <row r="243" spans="1:13" x14ac:dyDescent="0.25">
      <c r="A243">
        <v>242</v>
      </c>
      <c r="B243">
        <v>13</v>
      </c>
      <c r="C243">
        <v>16</v>
      </c>
      <c r="D243" s="2">
        <v>42176.045474537037</v>
      </c>
      <c r="E243" t="s">
        <v>41</v>
      </c>
      <c r="F243">
        <v>150</v>
      </c>
      <c r="G243" s="3">
        <v>17</v>
      </c>
      <c r="H243">
        <v>1679</v>
      </c>
      <c r="I243" t="s">
        <v>121</v>
      </c>
      <c r="J243">
        <v>8</v>
      </c>
      <c r="K243">
        <v>10</v>
      </c>
      <c r="L243">
        <v>13</v>
      </c>
      <c r="M243">
        <v>11</v>
      </c>
    </row>
    <row r="244" spans="1:13" x14ac:dyDescent="0.25">
      <c r="A244">
        <v>243</v>
      </c>
      <c r="B244">
        <v>13</v>
      </c>
      <c r="C244">
        <v>19</v>
      </c>
      <c r="D244" s="2">
        <v>42173.637083333335</v>
      </c>
      <c r="E244" t="s">
        <v>41</v>
      </c>
      <c r="F244">
        <v>240</v>
      </c>
      <c r="G244" s="3">
        <v>18</v>
      </c>
      <c r="H244">
        <v>1577</v>
      </c>
      <c r="I244" t="s">
        <v>121</v>
      </c>
      <c r="J244">
        <v>15</v>
      </c>
      <c r="K244">
        <v>17</v>
      </c>
      <c r="L244">
        <v>6</v>
      </c>
      <c r="M244">
        <v>4</v>
      </c>
    </row>
    <row r="245" spans="1:13" x14ac:dyDescent="0.25">
      <c r="A245">
        <v>244</v>
      </c>
      <c r="B245">
        <v>13</v>
      </c>
      <c r="C245">
        <v>29</v>
      </c>
      <c r="D245" s="2">
        <v>42173.259247685186</v>
      </c>
      <c r="E245" t="s">
        <v>41</v>
      </c>
      <c r="F245">
        <v>0</v>
      </c>
      <c r="G245" s="3">
        <v>19</v>
      </c>
      <c r="H245">
        <v>1641</v>
      </c>
      <c r="I245" t="s">
        <v>121</v>
      </c>
      <c r="J245">
        <v>11</v>
      </c>
      <c r="K245">
        <v>4</v>
      </c>
      <c r="L245">
        <v>10</v>
      </c>
      <c r="M245">
        <v>17</v>
      </c>
    </row>
    <row r="246" spans="1:13" x14ac:dyDescent="0.25">
      <c r="A246">
        <v>245</v>
      </c>
      <c r="B246">
        <v>13</v>
      </c>
      <c r="C246">
        <v>20</v>
      </c>
      <c r="D246" s="2">
        <v>42172.840439814812</v>
      </c>
      <c r="E246" t="s">
        <v>41</v>
      </c>
      <c r="F246">
        <v>60</v>
      </c>
      <c r="G246" s="3">
        <v>20</v>
      </c>
      <c r="H246">
        <v>0</v>
      </c>
      <c r="I246" t="s">
        <v>120</v>
      </c>
    </row>
    <row r="247" spans="1:13" x14ac:dyDescent="0.25">
      <c r="A247">
        <v>246</v>
      </c>
      <c r="B247">
        <v>13</v>
      </c>
      <c r="C247">
        <v>24</v>
      </c>
      <c r="D247" s="2">
        <v>42172.769004629627</v>
      </c>
      <c r="E247" t="s">
        <v>41</v>
      </c>
      <c r="F247">
        <v>30</v>
      </c>
      <c r="G247" s="3">
        <v>21</v>
      </c>
      <c r="H247">
        <v>1542</v>
      </c>
      <c r="I247" t="s">
        <v>121</v>
      </c>
      <c r="J247">
        <v>19</v>
      </c>
      <c r="K247">
        <v>12</v>
      </c>
      <c r="L247">
        <v>2</v>
      </c>
      <c r="M247">
        <v>9</v>
      </c>
    </row>
    <row r="248" spans="1:13" x14ac:dyDescent="0.25">
      <c r="A248">
        <v>247</v>
      </c>
      <c r="B248">
        <v>13</v>
      </c>
      <c r="C248">
        <v>6</v>
      </c>
      <c r="D248" s="2">
        <v>42174.638402777775</v>
      </c>
      <c r="E248" t="s">
        <v>41</v>
      </c>
      <c r="F248">
        <v>0</v>
      </c>
      <c r="G248" s="3">
        <v>22</v>
      </c>
      <c r="H248">
        <v>1657</v>
      </c>
      <c r="I248" t="s">
        <v>121</v>
      </c>
      <c r="J248">
        <v>9</v>
      </c>
      <c r="K248">
        <v>2</v>
      </c>
      <c r="L248">
        <v>12</v>
      </c>
      <c r="M248">
        <v>19</v>
      </c>
    </row>
    <row r="249" spans="1:13" x14ac:dyDescent="0.25">
      <c r="A249">
        <v>248</v>
      </c>
      <c r="B249">
        <v>13</v>
      </c>
      <c r="C249">
        <v>2</v>
      </c>
      <c r="D249" s="2">
        <v>42178.243877314817</v>
      </c>
      <c r="E249" t="s">
        <v>41</v>
      </c>
      <c r="F249">
        <v>300</v>
      </c>
      <c r="G249" s="3">
        <v>23</v>
      </c>
      <c r="H249">
        <v>1561</v>
      </c>
      <c r="I249" t="s">
        <v>121</v>
      </c>
      <c r="J249">
        <v>18</v>
      </c>
      <c r="K249">
        <v>20</v>
      </c>
      <c r="L249">
        <v>3</v>
      </c>
      <c r="M249">
        <v>1</v>
      </c>
    </row>
    <row r="250" spans="1:13" x14ac:dyDescent="0.25">
      <c r="A250">
        <v>249</v>
      </c>
      <c r="B250">
        <v>14</v>
      </c>
      <c r="C250">
        <v>8</v>
      </c>
      <c r="D250" s="2">
        <v>42185.12945601852</v>
      </c>
      <c r="E250" t="s">
        <v>41</v>
      </c>
      <c r="F250">
        <v>120</v>
      </c>
      <c r="G250" s="3">
        <v>1</v>
      </c>
      <c r="H250">
        <v>1449</v>
      </c>
      <c r="I250" t="s">
        <v>121</v>
      </c>
      <c r="J250">
        <v>12</v>
      </c>
      <c r="K250">
        <v>13</v>
      </c>
      <c r="L250">
        <v>9</v>
      </c>
      <c r="M250">
        <v>8</v>
      </c>
    </row>
    <row r="251" spans="1:13" x14ac:dyDescent="0.25">
      <c r="A251">
        <v>250</v>
      </c>
      <c r="B251">
        <v>14</v>
      </c>
      <c r="C251">
        <v>10</v>
      </c>
      <c r="D251" s="2">
        <v>42179.029409722221</v>
      </c>
      <c r="E251" t="s">
        <v>41</v>
      </c>
      <c r="F251">
        <v>120</v>
      </c>
      <c r="G251" s="3">
        <v>2</v>
      </c>
      <c r="H251">
        <v>1367</v>
      </c>
      <c r="I251" t="s">
        <v>121</v>
      </c>
      <c r="J251">
        <v>16</v>
      </c>
      <c r="K251">
        <v>16</v>
      </c>
      <c r="L251">
        <v>5</v>
      </c>
      <c r="M251">
        <v>5</v>
      </c>
    </row>
    <row r="252" spans="1:13" x14ac:dyDescent="0.25">
      <c r="A252">
        <v>251</v>
      </c>
      <c r="B252">
        <v>14</v>
      </c>
      <c r="C252">
        <v>29</v>
      </c>
      <c r="D252" s="2">
        <v>42183.88789351852</v>
      </c>
      <c r="E252" t="s">
        <v>41</v>
      </c>
      <c r="F252">
        <v>90</v>
      </c>
      <c r="G252" s="3">
        <v>3</v>
      </c>
      <c r="H252">
        <v>1284</v>
      </c>
      <c r="I252" t="s">
        <v>121</v>
      </c>
      <c r="J252">
        <v>20</v>
      </c>
      <c r="K252">
        <v>17</v>
      </c>
      <c r="L252">
        <v>1</v>
      </c>
      <c r="M252">
        <v>4</v>
      </c>
    </row>
    <row r="253" spans="1:13" x14ac:dyDescent="0.25">
      <c r="A253">
        <v>252</v>
      </c>
      <c r="B253">
        <v>14</v>
      </c>
      <c r="C253">
        <v>15</v>
      </c>
      <c r="D253" s="2">
        <v>42185.507291666669</v>
      </c>
      <c r="E253" t="s">
        <v>41</v>
      </c>
      <c r="F253">
        <v>60</v>
      </c>
      <c r="G253" s="3">
        <v>4</v>
      </c>
      <c r="H253">
        <v>0</v>
      </c>
      <c r="I253" t="s">
        <v>117</v>
      </c>
    </row>
    <row r="254" spans="1:13" x14ac:dyDescent="0.25">
      <c r="A254">
        <v>253</v>
      </c>
      <c r="B254">
        <v>14</v>
      </c>
      <c r="C254">
        <v>21</v>
      </c>
      <c r="D254" s="2">
        <v>42184.31417824074</v>
      </c>
      <c r="E254" t="s">
        <v>41</v>
      </c>
      <c r="F254">
        <v>240</v>
      </c>
      <c r="G254" s="3">
        <v>5</v>
      </c>
      <c r="H254">
        <v>1392</v>
      </c>
      <c r="I254" t="s">
        <v>121</v>
      </c>
      <c r="J254">
        <v>15</v>
      </c>
      <c r="K254">
        <v>18</v>
      </c>
      <c r="L254">
        <v>6</v>
      </c>
      <c r="M254">
        <v>3</v>
      </c>
    </row>
    <row r="255" spans="1:13" x14ac:dyDescent="0.25">
      <c r="A255">
        <v>254</v>
      </c>
      <c r="B255">
        <v>14</v>
      </c>
      <c r="C255">
        <v>20</v>
      </c>
      <c r="D255" s="2">
        <v>42178.909050925926</v>
      </c>
      <c r="E255" t="s">
        <v>41</v>
      </c>
      <c r="F255">
        <v>90</v>
      </c>
      <c r="G255" s="3">
        <v>6</v>
      </c>
      <c r="H255">
        <v>1442</v>
      </c>
      <c r="I255" t="s">
        <v>121</v>
      </c>
      <c r="J255">
        <v>14</v>
      </c>
      <c r="K255">
        <v>12</v>
      </c>
      <c r="L255">
        <v>7</v>
      </c>
      <c r="M255">
        <v>9</v>
      </c>
    </row>
    <row r="256" spans="1:13" x14ac:dyDescent="0.25">
      <c r="A256">
        <v>255</v>
      </c>
      <c r="B256">
        <v>14</v>
      </c>
      <c r="C256">
        <v>24</v>
      </c>
      <c r="D256" s="2">
        <v>42178.473553240743</v>
      </c>
      <c r="E256" t="s">
        <v>41</v>
      </c>
      <c r="F256">
        <v>300</v>
      </c>
      <c r="G256" s="3">
        <v>7</v>
      </c>
      <c r="H256">
        <v>1298</v>
      </c>
      <c r="I256" t="s">
        <v>121</v>
      </c>
      <c r="J256">
        <v>19</v>
      </c>
      <c r="K256">
        <v>20</v>
      </c>
      <c r="L256">
        <v>2</v>
      </c>
      <c r="M256">
        <v>1</v>
      </c>
    </row>
    <row r="257" spans="1:13" x14ac:dyDescent="0.25">
      <c r="A257">
        <v>256</v>
      </c>
      <c r="B257">
        <v>14</v>
      </c>
      <c r="C257">
        <v>14</v>
      </c>
      <c r="D257" s="2">
        <v>42179.026956018519</v>
      </c>
      <c r="E257" t="s">
        <v>41</v>
      </c>
      <c r="F257">
        <v>270</v>
      </c>
      <c r="G257" s="3">
        <v>8</v>
      </c>
      <c r="H257">
        <v>1348</v>
      </c>
      <c r="I257" t="s">
        <v>121</v>
      </c>
      <c r="J257">
        <v>17</v>
      </c>
      <c r="K257">
        <v>19</v>
      </c>
      <c r="L257">
        <v>4</v>
      </c>
      <c r="M257">
        <v>2</v>
      </c>
    </row>
    <row r="258" spans="1:13" x14ac:dyDescent="0.25">
      <c r="A258">
        <v>257</v>
      </c>
      <c r="B258">
        <v>14</v>
      </c>
      <c r="C258">
        <v>2</v>
      </c>
      <c r="D258" s="2">
        <v>42181.591273148151</v>
      </c>
      <c r="E258" t="s">
        <v>41</v>
      </c>
      <c r="F258">
        <v>120</v>
      </c>
      <c r="G258" s="3">
        <v>9</v>
      </c>
      <c r="H258">
        <v>1448</v>
      </c>
      <c r="I258" t="s">
        <v>121</v>
      </c>
      <c r="J258">
        <v>13</v>
      </c>
      <c r="K258">
        <v>14</v>
      </c>
      <c r="L258">
        <v>8</v>
      </c>
      <c r="M258">
        <v>7</v>
      </c>
    </row>
    <row r="259" spans="1:13" x14ac:dyDescent="0.25">
      <c r="A259">
        <v>258</v>
      </c>
      <c r="B259">
        <v>14</v>
      </c>
      <c r="C259">
        <v>28</v>
      </c>
      <c r="D259" s="2">
        <v>42183.186342592591</v>
      </c>
      <c r="E259" t="s">
        <v>41</v>
      </c>
      <c r="F259">
        <v>0</v>
      </c>
      <c r="G259" s="3">
        <v>10</v>
      </c>
      <c r="H259">
        <v>1305</v>
      </c>
      <c r="I259" t="s">
        <v>121</v>
      </c>
      <c r="J259">
        <v>18</v>
      </c>
      <c r="K259">
        <v>15</v>
      </c>
      <c r="L259">
        <v>3</v>
      </c>
      <c r="M259">
        <v>6</v>
      </c>
    </row>
    <row r="260" spans="1:13" x14ac:dyDescent="0.25">
      <c r="A260">
        <v>259</v>
      </c>
      <c r="B260">
        <v>15</v>
      </c>
      <c r="C260">
        <v>21</v>
      </c>
      <c r="D260" s="2">
        <v>42187.777939814812</v>
      </c>
      <c r="E260" t="s">
        <v>41</v>
      </c>
      <c r="F260">
        <v>60</v>
      </c>
      <c r="G260" s="3">
        <v>1</v>
      </c>
      <c r="H260">
        <v>1388</v>
      </c>
      <c r="I260" t="s">
        <v>121</v>
      </c>
      <c r="J260">
        <v>19</v>
      </c>
      <c r="K260">
        <v>17</v>
      </c>
      <c r="L260">
        <v>2</v>
      </c>
      <c r="M260">
        <v>4</v>
      </c>
    </row>
    <row r="261" spans="1:13" x14ac:dyDescent="0.25">
      <c r="A261">
        <v>260</v>
      </c>
      <c r="B261">
        <v>15</v>
      </c>
      <c r="C261">
        <v>29</v>
      </c>
      <c r="D261" s="2">
        <v>42189.373518518521</v>
      </c>
      <c r="E261" t="s">
        <v>41</v>
      </c>
      <c r="F261">
        <v>270</v>
      </c>
      <c r="G261" s="3">
        <v>2</v>
      </c>
      <c r="H261">
        <v>1438</v>
      </c>
      <c r="I261" t="s">
        <v>121</v>
      </c>
      <c r="J261">
        <v>18</v>
      </c>
      <c r="K261">
        <v>20</v>
      </c>
      <c r="L261">
        <v>3</v>
      </c>
      <c r="M261">
        <v>1</v>
      </c>
    </row>
    <row r="262" spans="1:13" x14ac:dyDescent="0.25">
      <c r="A262">
        <v>261</v>
      </c>
      <c r="B262">
        <v>15</v>
      </c>
      <c r="C262">
        <v>22</v>
      </c>
      <c r="D262" s="2">
        <v>42191.92690972222</v>
      </c>
      <c r="E262" t="s">
        <v>41</v>
      </c>
      <c r="F262">
        <v>240</v>
      </c>
      <c r="G262" s="3">
        <v>3</v>
      </c>
      <c r="H262">
        <v>1489</v>
      </c>
      <c r="I262" t="s">
        <v>121</v>
      </c>
      <c r="J262">
        <v>17</v>
      </c>
      <c r="K262">
        <v>19</v>
      </c>
      <c r="L262">
        <v>4</v>
      </c>
      <c r="M262">
        <v>2</v>
      </c>
    </row>
    <row r="263" spans="1:13" x14ac:dyDescent="0.25">
      <c r="A263">
        <v>262</v>
      </c>
      <c r="B263">
        <v>15</v>
      </c>
      <c r="C263">
        <v>10</v>
      </c>
      <c r="D263" s="2">
        <v>42191.241238425922</v>
      </c>
      <c r="E263" t="s">
        <v>41</v>
      </c>
      <c r="F263">
        <v>90</v>
      </c>
      <c r="G263" s="3">
        <v>4</v>
      </c>
      <c r="H263">
        <v>1342</v>
      </c>
      <c r="I263" t="s">
        <v>121</v>
      </c>
      <c r="J263">
        <v>20</v>
      </c>
      <c r="K263">
        <v>18</v>
      </c>
      <c r="L263">
        <v>1</v>
      </c>
      <c r="M263">
        <v>3</v>
      </c>
    </row>
    <row r="264" spans="1:13" x14ac:dyDescent="0.25">
      <c r="A264">
        <v>263</v>
      </c>
      <c r="B264">
        <v>15</v>
      </c>
      <c r="C264">
        <v>6</v>
      </c>
      <c r="D264" s="2">
        <v>42192.794629629629</v>
      </c>
      <c r="E264" t="s">
        <v>41</v>
      </c>
      <c r="F264">
        <v>300</v>
      </c>
      <c r="G264" s="3">
        <v>5</v>
      </c>
      <c r="H264">
        <v>0</v>
      </c>
      <c r="I264" t="s">
        <v>120</v>
      </c>
    </row>
    <row r="265" spans="1:13" x14ac:dyDescent="0.25">
      <c r="A265">
        <v>264</v>
      </c>
      <c r="B265">
        <v>16</v>
      </c>
      <c r="C265">
        <v>22</v>
      </c>
      <c r="D265" s="2">
        <v>42195.902962962966</v>
      </c>
      <c r="E265" t="s">
        <v>41</v>
      </c>
      <c r="F265">
        <v>30</v>
      </c>
      <c r="G265" s="3">
        <v>1</v>
      </c>
      <c r="H265">
        <v>1332</v>
      </c>
      <c r="I265" t="s">
        <v>121</v>
      </c>
      <c r="J265">
        <v>17</v>
      </c>
      <c r="K265">
        <v>14</v>
      </c>
      <c r="L265">
        <v>4</v>
      </c>
      <c r="M265">
        <v>7</v>
      </c>
    </row>
    <row r="266" spans="1:13" x14ac:dyDescent="0.25">
      <c r="A266">
        <v>265</v>
      </c>
      <c r="B266">
        <v>16</v>
      </c>
      <c r="C266">
        <v>13</v>
      </c>
      <c r="D266" s="2">
        <v>42196.873993055553</v>
      </c>
      <c r="E266" t="s">
        <v>41</v>
      </c>
      <c r="F266">
        <v>0</v>
      </c>
      <c r="G266" s="3">
        <v>2</v>
      </c>
      <c r="H266">
        <v>1316</v>
      </c>
      <c r="I266" t="s">
        <v>121</v>
      </c>
      <c r="J266">
        <v>18</v>
      </c>
      <c r="K266">
        <v>13</v>
      </c>
      <c r="L266">
        <v>3</v>
      </c>
      <c r="M266">
        <v>8</v>
      </c>
    </row>
    <row r="267" spans="1:13" x14ac:dyDescent="0.25">
      <c r="A267">
        <v>266</v>
      </c>
      <c r="B267">
        <v>16</v>
      </c>
      <c r="C267">
        <v>10</v>
      </c>
      <c r="D267" s="2">
        <v>42193.064652777779</v>
      </c>
      <c r="E267" t="s">
        <v>41</v>
      </c>
      <c r="F267">
        <v>240</v>
      </c>
      <c r="G267" s="3">
        <v>3</v>
      </c>
      <c r="H267">
        <v>0</v>
      </c>
      <c r="I267" t="s">
        <v>117</v>
      </c>
    </row>
    <row r="268" spans="1:13" x14ac:dyDescent="0.25">
      <c r="A268">
        <v>267</v>
      </c>
      <c r="B268">
        <v>16</v>
      </c>
      <c r="C268">
        <v>4</v>
      </c>
      <c r="D268" s="2">
        <v>42193.103680555556</v>
      </c>
      <c r="E268" t="s">
        <v>41</v>
      </c>
      <c r="F268">
        <v>30</v>
      </c>
      <c r="G268" s="3">
        <v>4</v>
      </c>
      <c r="H268">
        <v>0</v>
      </c>
      <c r="I268" t="s">
        <v>117</v>
      </c>
    </row>
    <row r="269" spans="1:13" x14ac:dyDescent="0.25">
      <c r="A269">
        <v>268</v>
      </c>
      <c r="B269">
        <v>16</v>
      </c>
      <c r="C269">
        <v>28</v>
      </c>
      <c r="D269" s="2">
        <v>42194.260416666664</v>
      </c>
      <c r="E269" t="s">
        <v>41</v>
      </c>
      <c r="F269">
        <v>240</v>
      </c>
      <c r="G269" s="3">
        <v>5</v>
      </c>
      <c r="H269">
        <v>0</v>
      </c>
      <c r="I269" t="s">
        <v>120</v>
      </c>
    </row>
    <row r="270" spans="1:13" x14ac:dyDescent="0.25">
      <c r="A270">
        <v>269</v>
      </c>
      <c r="B270">
        <v>16</v>
      </c>
      <c r="C270">
        <v>21</v>
      </c>
      <c r="D270" s="2">
        <v>42196.243877314817</v>
      </c>
      <c r="E270" t="s">
        <v>41</v>
      </c>
      <c r="F270">
        <v>300</v>
      </c>
      <c r="G270" s="3">
        <v>6</v>
      </c>
      <c r="H270">
        <v>1334</v>
      </c>
      <c r="I270" t="s">
        <v>121</v>
      </c>
      <c r="J270">
        <v>16</v>
      </c>
      <c r="K270">
        <v>20</v>
      </c>
      <c r="L270">
        <v>5</v>
      </c>
      <c r="M270">
        <v>1</v>
      </c>
    </row>
    <row r="271" spans="1:13" x14ac:dyDescent="0.25">
      <c r="A271">
        <v>270</v>
      </c>
      <c r="B271">
        <v>16</v>
      </c>
      <c r="C271">
        <v>14</v>
      </c>
      <c r="D271" s="2">
        <v>42193.102349537039</v>
      </c>
      <c r="E271" t="s">
        <v>41</v>
      </c>
      <c r="F271">
        <v>270</v>
      </c>
      <c r="G271" s="3">
        <v>7</v>
      </c>
      <c r="H271">
        <v>1444</v>
      </c>
      <c r="I271" t="s">
        <v>121</v>
      </c>
      <c r="J271">
        <v>13</v>
      </c>
      <c r="K271">
        <v>17</v>
      </c>
      <c r="L271">
        <v>8</v>
      </c>
      <c r="M271">
        <v>4</v>
      </c>
    </row>
    <row r="272" spans="1:13" x14ac:dyDescent="0.25">
      <c r="A272">
        <v>271</v>
      </c>
      <c r="B272">
        <v>16</v>
      </c>
      <c r="C272">
        <v>9</v>
      </c>
      <c r="D272" s="2">
        <v>42195.960648148146</v>
      </c>
      <c r="E272" t="s">
        <v>41</v>
      </c>
      <c r="F272">
        <v>240</v>
      </c>
      <c r="G272" s="3">
        <v>8</v>
      </c>
      <c r="H272">
        <v>1310</v>
      </c>
      <c r="I272" t="s">
        <v>121</v>
      </c>
      <c r="J272">
        <v>19</v>
      </c>
      <c r="K272">
        <v>19</v>
      </c>
      <c r="L272">
        <v>2</v>
      </c>
      <c r="M272">
        <v>2</v>
      </c>
    </row>
    <row r="273" spans="1:13" x14ac:dyDescent="0.25">
      <c r="A273">
        <v>272</v>
      </c>
      <c r="B273">
        <v>16</v>
      </c>
      <c r="C273">
        <v>29</v>
      </c>
      <c r="D273" s="2">
        <v>42192.621712962966</v>
      </c>
      <c r="E273" t="s">
        <v>41</v>
      </c>
      <c r="F273">
        <v>180</v>
      </c>
      <c r="G273" s="3">
        <v>9</v>
      </c>
      <c r="H273">
        <v>1421</v>
      </c>
      <c r="I273" t="s">
        <v>121</v>
      </c>
      <c r="J273">
        <v>14</v>
      </c>
      <c r="K273">
        <v>15</v>
      </c>
      <c r="L273">
        <v>7</v>
      </c>
      <c r="M273">
        <v>6</v>
      </c>
    </row>
    <row r="274" spans="1:13" x14ac:dyDescent="0.25">
      <c r="A274">
        <v>273</v>
      </c>
      <c r="B274">
        <v>16</v>
      </c>
      <c r="C274">
        <v>23</v>
      </c>
      <c r="D274" s="2">
        <v>42193.521168981482</v>
      </c>
      <c r="E274" t="s">
        <v>41</v>
      </c>
      <c r="F274">
        <v>150</v>
      </c>
      <c r="G274" s="3">
        <v>10</v>
      </c>
      <c r="H274">
        <v>1378</v>
      </c>
      <c r="I274" t="s">
        <v>121</v>
      </c>
      <c r="J274">
        <v>15</v>
      </c>
      <c r="K274">
        <v>16</v>
      </c>
      <c r="L274">
        <v>6</v>
      </c>
      <c r="M274">
        <v>5</v>
      </c>
    </row>
    <row r="275" spans="1:13" x14ac:dyDescent="0.25">
      <c r="A275">
        <v>274</v>
      </c>
      <c r="B275">
        <v>16</v>
      </c>
      <c r="C275">
        <v>17</v>
      </c>
      <c r="D275" s="2">
        <v>42192.305289351854</v>
      </c>
      <c r="E275" t="s">
        <v>41</v>
      </c>
      <c r="F275">
        <v>180</v>
      </c>
      <c r="G275" s="3">
        <v>11</v>
      </c>
      <c r="H275">
        <v>1295</v>
      </c>
      <c r="I275" t="s">
        <v>121</v>
      </c>
      <c r="J275">
        <v>20</v>
      </c>
      <c r="K275">
        <v>18</v>
      </c>
      <c r="L275">
        <v>1</v>
      </c>
      <c r="M275">
        <v>3</v>
      </c>
    </row>
    <row r="276" spans="1:13" x14ac:dyDescent="0.25">
      <c r="A276">
        <v>275</v>
      </c>
      <c r="B276">
        <v>17</v>
      </c>
      <c r="C276">
        <v>12</v>
      </c>
      <c r="D276" s="2">
        <v>42196.232534722221</v>
      </c>
      <c r="E276" t="s">
        <v>41</v>
      </c>
      <c r="F276">
        <v>60</v>
      </c>
      <c r="G276" s="3">
        <v>1</v>
      </c>
      <c r="H276">
        <v>1697</v>
      </c>
      <c r="I276" t="s">
        <v>121</v>
      </c>
      <c r="J276">
        <v>19</v>
      </c>
      <c r="K276">
        <v>18</v>
      </c>
      <c r="L276">
        <v>2</v>
      </c>
      <c r="M276">
        <v>3</v>
      </c>
    </row>
    <row r="277" spans="1:13" x14ac:dyDescent="0.25">
      <c r="A277">
        <v>276</v>
      </c>
      <c r="B277">
        <v>17</v>
      </c>
      <c r="C277">
        <v>28</v>
      </c>
      <c r="D277" s="2">
        <v>42199.132488425923</v>
      </c>
      <c r="E277" t="s">
        <v>41</v>
      </c>
      <c r="F277">
        <v>30</v>
      </c>
      <c r="G277" s="3">
        <v>2</v>
      </c>
      <c r="H277">
        <v>1598</v>
      </c>
      <c r="I277" t="s">
        <v>121</v>
      </c>
      <c r="J277">
        <v>20</v>
      </c>
      <c r="K277">
        <v>19</v>
      </c>
      <c r="L277">
        <v>1</v>
      </c>
      <c r="M277">
        <v>2</v>
      </c>
    </row>
    <row r="278" spans="1:13" x14ac:dyDescent="0.25">
      <c r="A278">
        <v>277</v>
      </c>
      <c r="B278">
        <v>17</v>
      </c>
      <c r="C278">
        <v>1</v>
      </c>
      <c r="D278" s="2">
        <v>42201.001388888886</v>
      </c>
      <c r="E278" t="s">
        <v>41</v>
      </c>
      <c r="F278">
        <v>0</v>
      </c>
      <c r="G278" s="3">
        <v>3</v>
      </c>
      <c r="H278">
        <v>0</v>
      </c>
      <c r="I278" t="s">
        <v>120</v>
      </c>
    </row>
    <row r="279" spans="1:13" x14ac:dyDescent="0.25">
      <c r="A279">
        <v>278</v>
      </c>
      <c r="B279">
        <v>17</v>
      </c>
      <c r="C279">
        <v>30</v>
      </c>
      <c r="D279" s="2">
        <v>42200.401828703703</v>
      </c>
      <c r="E279" t="s">
        <v>41</v>
      </c>
      <c r="F279">
        <v>300</v>
      </c>
      <c r="G279" s="3">
        <v>4</v>
      </c>
      <c r="H279">
        <v>1752</v>
      </c>
      <c r="I279" t="s">
        <v>121</v>
      </c>
      <c r="J279">
        <v>18</v>
      </c>
      <c r="K279">
        <v>20</v>
      </c>
      <c r="L279">
        <v>3</v>
      </c>
      <c r="M279">
        <v>1</v>
      </c>
    </row>
    <row r="280" spans="1:13" x14ac:dyDescent="0.25">
      <c r="A280">
        <v>279</v>
      </c>
      <c r="B280">
        <v>18</v>
      </c>
      <c r="C280">
        <v>13</v>
      </c>
      <c r="D280" s="2">
        <v>42204.356863425928</v>
      </c>
      <c r="E280" t="s">
        <v>41</v>
      </c>
      <c r="F280">
        <v>30</v>
      </c>
      <c r="G280" s="3">
        <v>1</v>
      </c>
      <c r="H280">
        <v>0</v>
      </c>
      <c r="I280" t="s">
        <v>117</v>
      </c>
    </row>
    <row r="281" spans="1:13" x14ac:dyDescent="0.25">
      <c r="A281">
        <v>280</v>
      </c>
      <c r="B281">
        <v>18</v>
      </c>
      <c r="C281">
        <v>11</v>
      </c>
      <c r="D281" s="2">
        <v>42203.541585648149</v>
      </c>
      <c r="E281" t="s">
        <v>41</v>
      </c>
      <c r="F281">
        <v>120</v>
      </c>
      <c r="G281" s="3">
        <v>2</v>
      </c>
      <c r="H281">
        <v>1766</v>
      </c>
      <c r="I281" t="s">
        <v>121</v>
      </c>
      <c r="J281">
        <v>17</v>
      </c>
      <c r="K281">
        <v>18</v>
      </c>
      <c r="L281">
        <v>4</v>
      </c>
      <c r="M281">
        <v>3</v>
      </c>
    </row>
    <row r="282" spans="1:13" x14ac:dyDescent="0.25">
      <c r="A282">
        <v>281</v>
      </c>
      <c r="B282">
        <v>18</v>
      </c>
      <c r="C282">
        <v>28</v>
      </c>
      <c r="D282" s="2">
        <v>42205.773032407407</v>
      </c>
      <c r="E282" t="s">
        <v>41</v>
      </c>
      <c r="F282">
        <v>0</v>
      </c>
      <c r="G282" s="3">
        <v>3</v>
      </c>
      <c r="H282">
        <v>1744</v>
      </c>
      <c r="I282" t="s">
        <v>121</v>
      </c>
      <c r="J282">
        <v>19</v>
      </c>
      <c r="K282">
        <v>17</v>
      </c>
      <c r="L282">
        <v>2</v>
      </c>
      <c r="M282">
        <v>4</v>
      </c>
    </row>
    <row r="283" spans="1:13" x14ac:dyDescent="0.25">
      <c r="A283">
        <v>282</v>
      </c>
      <c r="B283">
        <v>18</v>
      </c>
      <c r="C283">
        <v>24</v>
      </c>
      <c r="D283" s="2">
        <v>42207.963495370372</v>
      </c>
      <c r="E283" t="s">
        <v>41</v>
      </c>
      <c r="F283">
        <v>300</v>
      </c>
      <c r="G283" s="3">
        <v>4</v>
      </c>
      <c r="H283">
        <v>1722</v>
      </c>
      <c r="I283" t="s">
        <v>121</v>
      </c>
      <c r="J283">
        <v>20</v>
      </c>
      <c r="K283">
        <v>20</v>
      </c>
      <c r="L283">
        <v>1</v>
      </c>
      <c r="M283">
        <v>1</v>
      </c>
    </row>
    <row r="284" spans="1:13" x14ac:dyDescent="0.25">
      <c r="A284">
        <v>283</v>
      </c>
      <c r="B284">
        <v>18</v>
      </c>
      <c r="C284">
        <v>16</v>
      </c>
      <c r="D284" s="2">
        <v>42201.93540509259</v>
      </c>
      <c r="E284" t="s">
        <v>41</v>
      </c>
      <c r="F284">
        <v>150</v>
      </c>
      <c r="G284" s="3">
        <v>5</v>
      </c>
      <c r="H284">
        <v>1957</v>
      </c>
      <c r="I284" t="s">
        <v>121</v>
      </c>
      <c r="J284">
        <v>13</v>
      </c>
      <c r="K284">
        <v>16</v>
      </c>
      <c r="L284">
        <v>8</v>
      </c>
      <c r="M284">
        <v>5</v>
      </c>
    </row>
    <row r="285" spans="1:13" x14ac:dyDescent="0.25">
      <c r="A285">
        <v>284</v>
      </c>
      <c r="B285">
        <v>18</v>
      </c>
      <c r="C285">
        <v>29</v>
      </c>
      <c r="D285" s="2">
        <v>42203.166851851849</v>
      </c>
      <c r="E285" t="s">
        <v>41</v>
      </c>
      <c r="F285">
        <v>120</v>
      </c>
      <c r="G285" s="3">
        <v>6</v>
      </c>
      <c r="H285">
        <v>1935</v>
      </c>
      <c r="I285" t="s">
        <v>121</v>
      </c>
      <c r="J285">
        <v>14</v>
      </c>
      <c r="K285">
        <v>15</v>
      </c>
      <c r="L285">
        <v>7</v>
      </c>
      <c r="M285">
        <v>6</v>
      </c>
    </row>
    <row r="286" spans="1:13" x14ac:dyDescent="0.25">
      <c r="A286">
        <v>285</v>
      </c>
      <c r="B286">
        <v>18</v>
      </c>
      <c r="C286">
        <v>15</v>
      </c>
      <c r="D286" s="2">
        <v>42208.44153935185</v>
      </c>
      <c r="E286" t="s">
        <v>41</v>
      </c>
      <c r="F286">
        <v>90</v>
      </c>
      <c r="G286" s="3">
        <v>7</v>
      </c>
      <c r="H286">
        <v>1913</v>
      </c>
      <c r="I286" t="s">
        <v>121</v>
      </c>
      <c r="J286">
        <v>15</v>
      </c>
      <c r="K286">
        <v>13</v>
      </c>
      <c r="L286">
        <v>6</v>
      </c>
      <c r="M286">
        <v>8</v>
      </c>
    </row>
    <row r="287" spans="1:13" x14ac:dyDescent="0.25">
      <c r="A287">
        <v>286</v>
      </c>
      <c r="B287">
        <v>18</v>
      </c>
      <c r="C287">
        <v>30</v>
      </c>
      <c r="D287" s="2">
        <v>42202.381319444445</v>
      </c>
      <c r="E287" t="s">
        <v>41</v>
      </c>
      <c r="F287">
        <v>300</v>
      </c>
      <c r="G287" s="3">
        <v>8</v>
      </c>
      <c r="H287">
        <v>0</v>
      </c>
      <c r="I287" t="s">
        <v>117</v>
      </c>
    </row>
    <row r="288" spans="1:13" x14ac:dyDescent="0.25">
      <c r="A288">
        <v>287</v>
      </c>
      <c r="B288">
        <v>18</v>
      </c>
      <c r="C288">
        <v>18</v>
      </c>
      <c r="D288" s="2">
        <v>42203.725416666668</v>
      </c>
      <c r="E288" t="s">
        <v>41</v>
      </c>
      <c r="F288">
        <v>240</v>
      </c>
      <c r="G288" s="3">
        <v>9</v>
      </c>
      <c r="H288">
        <v>1759</v>
      </c>
      <c r="I288" t="s">
        <v>121</v>
      </c>
      <c r="J288">
        <v>18</v>
      </c>
      <c r="K288">
        <v>19</v>
      </c>
      <c r="L288">
        <v>3</v>
      </c>
      <c r="M288">
        <v>2</v>
      </c>
    </row>
    <row r="289" spans="1:13" x14ac:dyDescent="0.25">
      <c r="A289">
        <v>288</v>
      </c>
      <c r="B289">
        <v>18</v>
      </c>
      <c r="C289">
        <v>7</v>
      </c>
      <c r="D289" s="2">
        <v>42202.652662037035</v>
      </c>
      <c r="E289" t="s">
        <v>41</v>
      </c>
      <c r="F289">
        <v>90</v>
      </c>
      <c r="G289" s="3">
        <v>10</v>
      </c>
      <c r="H289">
        <v>1912</v>
      </c>
      <c r="I289" t="s">
        <v>121</v>
      </c>
      <c r="J289">
        <v>16</v>
      </c>
      <c r="K289">
        <v>14</v>
      </c>
      <c r="L289">
        <v>5</v>
      </c>
      <c r="M289">
        <v>7</v>
      </c>
    </row>
    <row r="290" spans="1:13" x14ac:dyDescent="0.25">
      <c r="A290">
        <v>289</v>
      </c>
      <c r="B290">
        <v>19</v>
      </c>
      <c r="C290">
        <v>14</v>
      </c>
      <c r="D290" s="2">
        <v>42211.247546296298</v>
      </c>
      <c r="E290" t="s">
        <v>41</v>
      </c>
      <c r="F290">
        <v>300</v>
      </c>
      <c r="G290" s="3">
        <v>1</v>
      </c>
      <c r="H290">
        <v>1889</v>
      </c>
      <c r="I290" t="s">
        <v>121</v>
      </c>
      <c r="J290">
        <v>20</v>
      </c>
      <c r="K290">
        <v>20</v>
      </c>
      <c r="L290">
        <v>1</v>
      </c>
      <c r="M290">
        <v>1</v>
      </c>
    </row>
    <row r="291" spans="1:13" x14ac:dyDescent="0.25">
      <c r="A291">
        <v>290</v>
      </c>
      <c r="B291">
        <v>19</v>
      </c>
      <c r="C291">
        <v>26</v>
      </c>
      <c r="D291" s="2">
        <v>42211.133819444447</v>
      </c>
      <c r="E291" t="s">
        <v>41</v>
      </c>
      <c r="F291">
        <v>120</v>
      </c>
      <c r="G291" s="3">
        <v>2</v>
      </c>
      <c r="H291">
        <v>2057</v>
      </c>
      <c r="I291" t="s">
        <v>121</v>
      </c>
      <c r="J291">
        <v>12</v>
      </c>
      <c r="K291">
        <v>11</v>
      </c>
      <c r="L291">
        <v>9</v>
      </c>
      <c r="M291">
        <v>10</v>
      </c>
    </row>
    <row r="292" spans="1:13" x14ac:dyDescent="0.25">
      <c r="A292">
        <v>291</v>
      </c>
      <c r="B292">
        <v>19</v>
      </c>
      <c r="C292">
        <v>11</v>
      </c>
      <c r="D292" s="2">
        <v>42212.019386574073</v>
      </c>
      <c r="E292" t="s">
        <v>41</v>
      </c>
      <c r="F292">
        <v>0</v>
      </c>
      <c r="G292" s="3">
        <v>3</v>
      </c>
      <c r="H292">
        <v>1944</v>
      </c>
      <c r="I292" t="s">
        <v>121</v>
      </c>
      <c r="J292">
        <v>15</v>
      </c>
      <c r="K292">
        <v>10</v>
      </c>
      <c r="L292">
        <v>6</v>
      </c>
      <c r="M292">
        <v>11</v>
      </c>
    </row>
    <row r="293" spans="1:13" x14ac:dyDescent="0.25">
      <c r="A293">
        <v>292</v>
      </c>
      <c r="B293">
        <v>19</v>
      </c>
      <c r="C293">
        <v>21</v>
      </c>
      <c r="D293" s="2">
        <v>42212.957048611112</v>
      </c>
      <c r="E293" t="s">
        <v>41</v>
      </c>
      <c r="F293">
        <v>90</v>
      </c>
      <c r="G293" s="3">
        <v>4</v>
      </c>
      <c r="H293">
        <v>1906</v>
      </c>
      <c r="I293" t="s">
        <v>121</v>
      </c>
      <c r="J293">
        <v>18</v>
      </c>
      <c r="K293">
        <v>16</v>
      </c>
      <c r="L293">
        <v>3</v>
      </c>
      <c r="M293">
        <v>5</v>
      </c>
    </row>
    <row r="294" spans="1:13" x14ac:dyDescent="0.25">
      <c r="A294">
        <v>293</v>
      </c>
      <c r="B294">
        <v>19</v>
      </c>
      <c r="C294">
        <v>3</v>
      </c>
      <c r="D294" s="2">
        <v>42211.843136574076</v>
      </c>
      <c r="E294" t="s">
        <v>41</v>
      </c>
      <c r="F294">
        <v>300</v>
      </c>
      <c r="G294" s="3">
        <v>5</v>
      </c>
      <c r="H294">
        <v>2074</v>
      </c>
      <c r="I294" t="s">
        <v>121</v>
      </c>
      <c r="J294">
        <v>10</v>
      </c>
      <c r="K294">
        <v>19</v>
      </c>
      <c r="L294">
        <v>11</v>
      </c>
      <c r="M294">
        <v>2</v>
      </c>
    </row>
    <row r="295" spans="1:13" x14ac:dyDescent="0.25">
      <c r="A295">
        <v>294</v>
      </c>
      <c r="B295">
        <v>19</v>
      </c>
      <c r="C295">
        <v>28</v>
      </c>
      <c r="D295" s="2">
        <v>42213.770381944443</v>
      </c>
      <c r="E295" t="s">
        <v>41</v>
      </c>
      <c r="F295">
        <v>120</v>
      </c>
      <c r="G295" s="3">
        <v>6</v>
      </c>
      <c r="H295">
        <v>1961</v>
      </c>
      <c r="I295" t="s">
        <v>121</v>
      </c>
      <c r="J295">
        <v>14</v>
      </c>
      <c r="K295">
        <v>14</v>
      </c>
      <c r="L295">
        <v>7</v>
      </c>
      <c r="M295">
        <v>7</v>
      </c>
    </row>
    <row r="296" spans="1:13" x14ac:dyDescent="0.25">
      <c r="A296">
        <v>295</v>
      </c>
      <c r="B296">
        <v>19</v>
      </c>
      <c r="C296">
        <v>10</v>
      </c>
      <c r="D296" s="2">
        <v>42213.698321759257</v>
      </c>
      <c r="E296" t="s">
        <v>41</v>
      </c>
      <c r="F296">
        <v>0</v>
      </c>
      <c r="G296" s="3">
        <v>7</v>
      </c>
      <c r="H296">
        <v>0</v>
      </c>
      <c r="I296" t="s">
        <v>117</v>
      </c>
    </row>
    <row r="297" spans="1:13" x14ac:dyDescent="0.25">
      <c r="A297">
        <v>296</v>
      </c>
      <c r="B297">
        <v>19</v>
      </c>
      <c r="C297">
        <v>19</v>
      </c>
      <c r="D297" s="2">
        <v>42209.899027777778</v>
      </c>
      <c r="E297" t="s">
        <v>41</v>
      </c>
      <c r="F297">
        <v>0</v>
      </c>
      <c r="G297" s="3">
        <v>8</v>
      </c>
      <c r="H297">
        <v>0</v>
      </c>
      <c r="I297" t="s">
        <v>120</v>
      </c>
    </row>
    <row r="298" spans="1:13" x14ac:dyDescent="0.25">
      <c r="A298">
        <v>297</v>
      </c>
      <c r="B298">
        <v>19</v>
      </c>
      <c r="C298">
        <v>15</v>
      </c>
      <c r="D298" s="2">
        <v>42215.104699074072</v>
      </c>
      <c r="E298" t="s">
        <v>41</v>
      </c>
      <c r="F298">
        <v>150</v>
      </c>
      <c r="G298" s="3">
        <v>9</v>
      </c>
      <c r="H298">
        <v>1933</v>
      </c>
      <c r="I298" t="s">
        <v>121</v>
      </c>
      <c r="J298">
        <v>17</v>
      </c>
      <c r="K298">
        <v>18</v>
      </c>
      <c r="L298">
        <v>4</v>
      </c>
      <c r="M298">
        <v>3</v>
      </c>
    </row>
    <row r="299" spans="1:13" x14ac:dyDescent="0.25">
      <c r="A299">
        <v>298</v>
      </c>
      <c r="B299">
        <v>19</v>
      </c>
      <c r="C299">
        <v>20</v>
      </c>
      <c r="D299" s="2">
        <v>42209.724097222221</v>
      </c>
      <c r="E299" t="s">
        <v>41</v>
      </c>
      <c r="F299">
        <v>120</v>
      </c>
      <c r="G299" s="3">
        <v>10</v>
      </c>
      <c r="H299">
        <v>2019</v>
      </c>
      <c r="I299" t="s">
        <v>121</v>
      </c>
      <c r="J299">
        <v>13</v>
      </c>
      <c r="K299">
        <v>13</v>
      </c>
      <c r="L299">
        <v>8</v>
      </c>
      <c r="M299">
        <v>8</v>
      </c>
    </row>
    <row r="300" spans="1:13" x14ac:dyDescent="0.25">
      <c r="A300">
        <v>299</v>
      </c>
      <c r="B300">
        <v>19</v>
      </c>
      <c r="C300">
        <v>7</v>
      </c>
      <c r="D300" s="2">
        <v>42213.624247685184</v>
      </c>
      <c r="E300" t="s">
        <v>41</v>
      </c>
      <c r="F300">
        <v>90</v>
      </c>
      <c r="G300" s="3">
        <v>11</v>
      </c>
      <c r="H300">
        <v>1899</v>
      </c>
      <c r="I300" t="s">
        <v>121</v>
      </c>
      <c r="J300">
        <v>19</v>
      </c>
      <c r="K300">
        <v>17</v>
      </c>
      <c r="L300">
        <v>2</v>
      </c>
      <c r="M300">
        <v>4</v>
      </c>
    </row>
    <row r="301" spans="1:13" x14ac:dyDescent="0.25">
      <c r="A301">
        <v>300</v>
      </c>
      <c r="B301">
        <v>19</v>
      </c>
      <c r="C301">
        <v>5</v>
      </c>
      <c r="D301" s="2">
        <v>42208.232534722221</v>
      </c>
      <c r="E301" t="s">
        <v>41</v>
      </c>
      <c r="F301">
        <v>60</v>
      </c>
      <c r="G301" s="3">
        <v>12</v>
      </c>
      <c r="H301">
        <v>2060</v>
      </c>
      <c r="I301" t="s">
        <v>121</v>
      </c>
      <c r="J301">
        <v>11</v>
      </c>
      <c r="K301">
        <v>9</v>
      </c>
      <c r="L301">
        <v>10</v>
      </c>
      <c r="M301">
        <v>12</v>
      </c>
    </row>
    <row r="302" spans="1:13" x14ac:dyDescent="0.25">
      <c r="A302">
        <v>301</v>
      </c>
      <c r="B302">
        <v>19</v>
      </c>
      <c r="C302">
        <v>2</v>
      </c>
      <c r="D302" s="2">
        <v>42212.132488425923</v>
      </c>
      <c r="E302" t="s">
        <v>41</v>
      </c>
      <c r="F302">
        <v>30</v>
      </c>
      <c r="G302" s="3">
        <v>13</v>
      </c>
      <c r="H302">
        <v>1940</v>
      </c>
      <c r="I302" t="s">
        <v>121</v>
      </c>
      <c r="J302">
        <v>16</v>
      </c>
      <c r="K302">
        <v>12</v>
      </c>
      <c r="L302">
        <v>5</v>
      </c>
      <c r="M302">
        <v>9</v>
      </c>
    </row>
    <row r="303" spans="1:13" x14ac:dyDescent="0.25">
      <c r="A303">
        <v>302</v>
      </c>
      <c r="B303">
        <v>19</v>
      </c>
      <c r="C303">
        <v>17</v>
      </c>
      <c r="D303" s="2">
        <v>42214.001388888886</v>
      </c>
      <c r="E303" t="s">
        <v>41</v>
      </c>
      <c r="F303">
        <v>0</v>
      </c>
      <c r="G303" s="3">
        <v>14</v>
      </c>
      <c r="H303">
        <v>0</v>
      </c>
      <c r="I303" t="s">
        <v>120</v>
      </c>
    </row>
    <row r="304" spans="1:13" x14ac:dyDescent="0.25">
      <c r="A304">
        <v>303</v>
      </c>
      <c r="B304">
        <v>19</v>
      </c>
      <c r="C304">
        <v>12</v>
      </c>
      <c r="D304" s="2">
        <v>42214.401828703703</v>
      </c>
      <c r="E304" t="s">
        <v>41</v>
      </c>
      <c r="F304">
        <v>300</v>
      </c>
      <c r="G304" s="3">
        <v>15</v>
      </c>
      <c r="H304">
        <v>2127</v>
      </c>
      <c r="I304" t="s">
        <v>121</v>
      </c>
      <c r="J304">
        <v>9</v>
      </c>
      <c r="K304">
        <v>15</v>
      </c>
      <c r="L304">
        <v>12</v>
      </c>
      <c r="M304">
        <v>6</v>
      </c>
    </row>
    <row r="305" spans="1:13" x14ac:dyDescent="0.25">
      <c r="A305">
        <v>304</v>
      </c>
      <c r="B305">
        <v>20</v>
      </c>
      <c r="C305">
        <v>3</v>
      </c>
      <c r="D305" s="2">
        <v>42215.010104166664</v>
      </c>
      <c r="E305" t="s">
        <v>41</v>
      </c>
      <c r="F305">
        <v>270</v>
      </c>
      <c r="G305" s="3">
        <v>1</v>
      </c>
      <c r="H305">
        <v>1469</v>
      </c>
      <c r="I305" t="s">
        <v>121</v>
      </c>
      <c r="J305">
        <v>14</v>
      </c>
      <c r="K305">
        <v>17</v>
      </c>
      <c r="L305">
        <v>7</v>
      </c>
      <c r="M305">
        <v>4</v>
      </c>
    </row>
    <row r="306" spans="1:13" x14ac:dyDescent="0.25">
      <c r="A306">
        <v>305</v>
      </c>
      <c r="B306">
        <v>20</v>
      </c>
      <c r="C306">
        <v>10</v>
      </c>
      <c r="D306" s="2">
        <v>42220.546631944446</v>
      </c>
      <c r="E306" t="s">
        <v>41</v>
      </c>
      <c r="F306">
        <v>240</v>
      </c>
      <c r="G306" s="3">
        <v>2</v>
      </c>
      <c r="H306">
        <v>1519</v>
      </c>
      <c r="I306" t="s">
        <v>121</v>
      </c>
      <c r="J306">
        <v>7</v>
      </c>
      <c r="K306">
        <v>14</v>
      </c>
      <c r="L306">
        <v>14</v>
      </c>
      <c r="M306">
        <v>7</v>
      </c>
    </row>
    <row r="307" spans="1:13" x14ac:dyDescent="0.25">
      <c r="A307">
        <v>306</v>
      </c>
      <c r="B307">
        <v>20</v>
      </c>
      <c r="C307">
        <v>4</v>
      </c>
      <c r="D307" s="2">
        <v>42216.86440972222</v>
      </c>
      <c r="E307" t="s">
        <v>41</v>
      </c>
      <c r="F307">
        <v>240</v>
      </c>
      <c r="G307" s="3">
        <v>3</v>
      </c>
      <c r="H307">
        <v>1568</v>
      </c>
      <c r="I307" t="s">
        <v>121</v>
      </c>
      <c r="J307">
        <v>3</v>
      </c>
      <c r="K307">
        <v>11</v>
      </c>
      <c r="L307">
        <v>18</v>
      </c>
      <c r="M307">
        <v>10</v>
      </c>
    </row>
    <row r="308" spans="1:13" x14ac:dyDescent="0.25">
      <c r="A308">
        <v>307</v>
      </c>
      <c r="B308">
        <v>20</v>
      </c>
      <c r="C308">
        <v>9</v>
      </c>
      <c r="D308" s="2">
        <v>42221.110150462962</v>
      </c>
      <c r="E308" t="s">
        <v>41</v>
      </c>
      <c r="F308">
        <v>300</v>
      </c>
      <c r="G308" s="3">
        <v>4</v>
      </c>
      <c r="H308">
        <v>1561</v>
      </c>
      <c r="I308" t="s">
        <v>121</v>
      </c>
      <c r="J308">
        <v>5</v>
      </c>
      <c r="K308">
        <v>15</v>
      </c>
      <c r="L308">
        <v>16</v>
      </c>
      <c r="M308">
        <v>6</v>
      </c>
    </row>
    <row r="309" spans="1:13" x14ac:dyDescent="0.25">
      <c r="A309">
        <v>308</v>
      </c>
      <c r="B309">
        <v>20</v>
      </c>
      <c r="C309">
        <v>19</v>
      </c>
      <c r="D309" s="2">
        <v>42215.677233796298</v>
      </c>
      <c r="E309" t="s">
        <v>41</v>
      </c>
      <c r="F309">
        <v>270</v>
      </c>
      <c r="G309" s="3">
        <v>5</v>
      </c>
      <c r="H309">
        <v>1611</v>
      </c>
      <c r="I309" t="s">
        <v>121</v>
      </c>
      <c r="K309">
        <v>10</v>
      </c>
      <c r="L309">
        <v>24</v>
      </c>
      <c r="M309">
        <v>11</v>
      </c>
    </row>
    <row r="310" spans="1:13" x14ac:dyDescent="0.25">
      <c r="A310">
        <v>309</v>
      </c>
      <c r="B310">
        <v>20</v>
      </c>
      <c r="C310">
        <v>13</v>
      </c>
      <c r="D310" s="2">
        <v>42220.922789351855</v>
      </c>
      <c r="E310" t="s">
        <v>41</v>
      </c>
      <c r="F310">
        <v>270</v>
      </c>
      <c r="G310" s="3">
        <v>6</v>
      </c>
      <c r="H310">
        <v>1445</v>
      </c>
      <c r="I310" t="s">
        <v>121</v>
      </c>
      <c r="J310">
        <v>17</v>
      </c>
      <c r="K310">
        <v>18</v>
      </c>
      <c r="L310">
        <v>4</v>
      </c>
      <c r="M310">
        <v>3</v>
      </c>
    </row>
    <row r="311" spans="1:13" x14ac:dyDescent="0.25">
      <c r="A311">
        <v>310</v>
      </c>
      <c r="B311">
        <v>20</v>
      </c>
      <c r="C311">
        <v>1</v>
      </c>
      <c r="D311" s="2">
        <v>42217.460011574076</v>
      </c>
      <c r="E311" t="s">
        <v>41</v>
      </c>
      <c r="F311">
        <v>0</v>
      </c>
      <c r="G311" s="3">
        <v>7</v>
      </c>
      <c r="H311">
        <v>1438</v>
      </c>
      <c r="I311" t="s">
        <v>121</v>
      </c>
      <c r="J311">
        <v>18</v>
      </c>
      <c r="K311">
        <v>3</v>
      </c>
      <c r="L311">
        <v>3</v>
      </c>
      <c r="M311">
        <v>18</v>
      </c>
    </row>
    <row r="312" spans="1:13" x14ac:dyDescent="0.25">
      <c r="A312">
        <v>311</v>
      </c>
      <c r="B312">
        <v>20</v>
      </c>
      <c r="C312">
        <v>16</v>
      </c>
      <c r="D312" s="2">
        <v>42221.777083333334</v>
      </c>
      <c r="E312" t="s">
        <v>41</v>
      </c>
      <c r="F312">
        <v>300</v>
      </c>
      <c r="G312" s="3">
        <v>8</v>
      </c>
      <c r="H312">
        <v>0</v>
      </c>
      <c r="I312" t="s">
        <v>117</v>
      </c>
    </row>
    <row r="313" spans="1:13" x14ac:dyDescent="0.25">
      <c r="A313">
        <v>312</v>
      </c>
      <c r="B313">
        <v>20</v>
      </c>
      <c r="C313">
        <v>5</v>
      </c>
      <c r="D313" s="2">
        <v>42215.266886574071</v>
      </c>
      <c r="E313" t="s">
        <v>41</v>
      </c>
      <c r="F313">
        <v>150</v>
      </c>
      <c r="G313" s="3">
        <v>9</v>
      </c>
      <c r="H313">
        <v>1492</v>
      </c>
      <c r="I313" t="s">
        <v>121</v>
      </c>
      <c r="J313">
        <v>10</v>
      </c>
      <c r="K313">
        <v>8</v>
      </c>
      <c r="L313">
        <v>11</v>
      </c>
      <c r="M313">
        <v>13</v>
      </c>
    </row>
    <row r="314" spans="1:13" x14ac:dyDescent="0.25">
      <c r="A314">
        <v>313</v>
      </c>
      <c r="B314">
        <v>20</v>
      </c>
      <c r="C314">
        <v>22</v>
      </c>
      <c r="D314" s="2">
        <v>42217.540694444448</v>
      </c>
      <c r="E314" t="s">
        <v>41</v>
      </c>
      <c r="F314">
        <v>30</v>
      </c>
      <c r="G314" s="3">
        <v>10</v>
      </c>
      <c r="H314">
        <v>1474</v>
      </c>
      <c r="I314" t="s">
        <v>121</v>
      </c>
      <c r="J314">
        <v>12</v>
      </c>
      <c r="K314">
        <v>2</v>
      </c>
      <c r="L314">
        <v>9</v>
      </c>
      <c r="M314">
        <v>19</v>
      </c>
    </row>
    <row r="315" spans="1:13" x14ac:dyDescent="0.25">
      <c r="A315">
        <v>314</v>
      </c>
      <c r="B315">
        <v>20</v>
      </c>
      <c r="C315">
        <v>18</v>
      </c>
      <c r="D315" s="2">
        <v>42219.772326388891</v>
      </c>
      <c r="E315" t="s">
        <v>41</v>
      </c>
      <c r="F315">
        <v>0</v>
      </c>
      <c r="G315" s="3">
        <v>11</v>
      </c>
      <c r="H315">
        <v>1455</v>
      </c>
      <c r="I315" t="s">
        <v>121</v>
      </c>
      <c r="J315">
        <v>16</v>
      </c>
      <c r="K315">
        <v>1</v>
      </c>
      <c r="L315">
        <v>5</v>
      </c>
      <c r="M315">
        <v>20</v>
      </c>
    </row>
    <row r="316" spans="1:13" x14ac:dyDescent="0.25">
      <c r="A316">
        <v>315</v>
      </c>
      <c r="B316">
        <v>20</v>
      </c>
      <c r="C316">
        <v>17</v>
      </c>
      <c r="D316" s="2">
        <v>42221.744050925925</v>
      </c>
      <c r="E316" t="s">
        <v>41</v>
      </c>
      <c r="F316">
        <v>300</v>
      </c>
      <c r="G316" s="3">
        <v>12</v>
      </c>
      <c r="H316">
        <v>1437</v>
      </c>
      <c r="I316" t="s">
        <v>121</v>
      </c>
      <c r="J316">
        <v>19</v>
      </c>
      <c r="K316">
        <v>20</v>
      </c>
      <c r="L316">
        <v>2</v>
      </c>
      <c r="M316">
        <v>1</v>
      </c>
    </row>
    <row r="317" spans="1:13" x14ac:dyDescent="0.25">
      <c r="A317">
        <v>316</v>
      </c>
      <c r="B317">
        <v>20</v>
      </c>
      <c r="C317">
        <v>23</v>
      </c>
      <c r="D317" s="2">
        <v>42215.934710648151</v>
      </c>
      <c r="E317" t="s">
        <v>41</v>
      </c>
      <c r="F317">
        <v>150</v>
      </c>
      <c r="G317" s="3">
        <v>13</v>
      </c>
      <c r="H317">
        <v>1634</v>
      </c>
      <c r="I317" t="s">
        <v>121</v>
      </c>
      <c r="L317">
        <v>27</v>
      </c>
      <c r="M317">
        <v>22</v>
      </c>
    </row>
    <row r="318" spans="1:13" x14ac:dyDescent="0.25">
      <c r="A318">
        <v>317</v>
      </c>
      <c r="B318">
        <v>20</v>
      </c>
      <c r="C318">
        <v>14</v>
      </c>
      <c r="D318" s="2">
        <v>42217.166851851849</v>
      </c>
      <c r="E318" t="s">
        <v>41</v>
      </c>
      <c r="F318">
        <v>120</v>
      </c>
      <c r="G318" s="3">
        <v>14</v>
      </c>
      <c r="H318">
        <v>1615</v>
      </c>
      <c r="I318" t="s">
        <v>121</v>
      </c>
      <c r="L318">
        <v>25</v>
      </c>
      <c r="M318">
        <v>23</v>
      </c>
    </row>
    <row r="319" spans="1:13" x14ac:dyDescent="0.25">
      <c r="A319">
        <v>318</v>
      </c>
      <c r="B319">
        <v>20</v>
      </c>
      <c r="C319">
        <v>12</v>
      </c>
      <c r="D319" s="2">
        <v>42219.14916666667</v>
      </c>
      <c r="E319" t="s">
        <v>41</v>
      </c>
      <c r="F319">
        <v>0</v>
      </c>
      <c r="G319" s="3">
        <v>15</v>
      </c>
      <c r="H319">
        <v>1597</v>
      </c>
      <c r="I319" t="s">
        <v>121</v>
      </c>
      <c r="L319">
        <v>21</v>
      </c>
      <c r="M319">
        <v>27</v>
      </c>
    </row>
    <row r="320" spans="1:13" x14ac:dyDescent="0.25">
      <c r="A320">
        <v>319</v>
      </c>
      <c r="B320">
        <v>20</v>
      </c>
      <c r="C320">
        <v>30</v>
      </c>
      <c r="D320" s="2">
        <v>42222.338946759257</v>
      </c>
      <c r="E320" t="s">
        <v>41</v>
      </c>
      <c r="F320">
        <v>300</v>
      </c>
      <c r="G320" s="3">
        <v>16</v>
      </c>
      <c r="H320">
        <v>0</v>
      </c>
      <c r="I320" t="s">
        <v>117</v>
      </c>
    </row>
    <row r="321" spans="1:13" x14ac:dyDescent="0.25">
      <c r="A321">
        <v>320</v>
      </c>
      <c r="B321">
        <v>20</v>
      </c>
      <c r="C321">
        <v>20</v>
      </c>
      <c r="D321" s="2">
        <v>42217.71361111111</v>
      </c>
      <c r="E321" t="s">
        <v>41</v>
      </c>
      <c r="F321">
        <v>240</v>
      </c>
      <c r="G321" s="3">
        <v>17</v>
      </c>
      <c r="H321">
        <v>1625</v>
      </c>
      <c r="I321" t="s">
        <v>121</v>
      </c>
      <c r="K321">
        <v>5</v>
      </c>
      <c r="L321">
        <v>26</v>
      </c>
      <c r="M321">
        <v>16</v>
      </c>
    </row>
    <row r="322" spans="1:13" x14ac:dyDescent="0.25">
      <c r="A322">
        <v>321</v>
      </c>
      <c r="B322">
        <v>20</v>
      </c>
      <c r="C322">
        <v>24</v>
      </c>
      <c r="D322" s="2">
        <v>42216.652662037035</v>
      </c>
      <c r="E322" t="s">
        <v>41</v>
      </c>
      <c r="F322">
        <v>0</v>
      </c>
      <c r="G322" s="3">
        <v>18</v>
      </c>
      <c r="H322">
        <v>1596</v>
      </c>
      <c r="I322" t="s">
        <v>121</v>
      </c>
      <c r="J322">
        <v>1</v>
      </c>
      <c r="L322">
        <v>20</v>
      </c>
      <c r="M322">
        <v>26</v>
      </c>
    </row>
    <row r="323" spans="1:13" x14ac:dyDescent="0.25">
      <c r="A323">
        <v>322</v>
      </c>
      <c r="B323">
        <v>20</v>
      </c>
      <c r="C323">
        <v>28</v>
      </c>
      <c r="D323" s="2">
        <v>42216.538055555553</v>
      </c>
      <c r="E323" t="s">
        <v>41</v>
      </c>
      <c r="F323">
        <v>150</v>
      </c>
      <c r="G323" s="3">
        <v>19</v>
      </c>
      <c r="H323">
        <v>1510</v>
      </c>
      <c r="I323" t="s">
        <v>121</v>
      </c>
      <c r="J323">
        <v>8</v>
      </c>
      <c r="K323">
        <v>7</v>
      </c>
      <c r="L323">
        <v>13</v>
      </c>
      <c r="M323">
        <v>14</v>
      </c>
    </row>
    <row r="324" spans="1:13" x14ac:dyDescent="0.25">
      <c r="A324">
        <v>323</v>
      </c>
      <c r="B324">
        <v>20</v>
      </c>
      <c r="C324">
        <v>26</v>
      </c>
      <c r="D324" s="2">
        <v>42217.423622685186</v>
      </c>
      <c r="E324" t="s">
        <v>41</v>
      </c>
      <c r="F324">
        <v>30</v>
      </c>
      <c r="G324" s="3">
        <v>20</v>
      </c>
      <c r="H324">
        <v>1638</v>
      </c>
      <c r="I324" t="s">
        <v>121</v>
      </c>
      <c r="L324">
        <v>28</v>
      </c>
      <c r="M324">
        <v>28</v>
      </c>
    </row>
    <row r="325" spans="1:13" x14ac:dyDescent="0.25">
      <c r="A325">
        <v>324</v>
      </c>
      <c r="B325">
        <v>20</v>
      </c>
      <c r="C325">
        <v>31</v>
      </c>
      <c r="D325" s="2">
        <v>42217.350868055553</v>
      </c>
      <c r="E325" t="s">
        <v>41</v>
      </c>
      <c r="F325">
        <v>240</v>
      </c>
      <c r="G325" s="3">
        <v>21</v>
      </c>
      <c r="H325">
        <v>1552</v>
      </c>
      <c r="I325" t="s">
        <v>121</v>
      </c>
      <c r="J325">
        <v>6</v>
      </c>
      <c r="K325">
        <v>13</v>
      </c>
      <c r="L325">
        <v>15</v>
      </c>
      <c r="M325">
        <v>8</v>
      </c>
    </row>
    <row r="326" spans="1:13" x14ac:dyDescent="0.25">
      <c r="A326">
        <v>325</v>
      </c>
      <c r="B326">
        <v>20</v>
      </c>
      <c r="C326">
        <v>25</v>
      </c>
      <c r="D326" s="2">
        <v>42216.277928240743</v>
      </c>
      <c r="E326" t="s">
        <v>41</v>
      </c>
      <c r="F326">
        <v>90</v>
      </c>
      <c r="G326" s="3">
        <v>22</v>
      </c>
      <c r="H326">
        <v>1465</v>
      </c>
      <c r="I326" t="s">
        <v>121</v>
      </c>
      <c r="J326">
        <v>15</v>
      </c>
      <c r="K326">
        <v>6</v>
      </c>
      <c r="L326">
        <v>6</v>
      </c>
      <c r="M326">
        <v>15</v>
      </c>
    </row>
    <row r="327" spans="1:13" x14ac:dyDescent="0.25">
      <c r="A327">
        <v>326</v>
      </c>
      <c r="B327">
        <v>20</v>
      </c>
      <c r="C327">
        <v>27</v>
      </c>
      <c r="D327" s="2">
        <v>42218.205868055556</v>
      </c>
      <c r="E327" t="s">
        <v>41</v>
      </c>
      <c r="F327">
        <v>270</v>
      </c>
      <c r="G327" s="3">
        <v>23</v>
      </c>
      <c r="H327">
        <v>1436</v>
      </c>
      <c r="I327" t="s">
        <v>121</v>
      </c>
      <c r="J327">
        <v>20</v>
      </c>
      <c r="K327">
        <v>19</v>
      </c>
      <c r="L327">
        <v>1</v>
      </c>
      <c r="M327">
        <v>2</v>
      </c>
    </row>
    <row r="328" spans="1:13" x14ac:dyDescent="0.25">
      <c r="A328">
        <v>327</v>
      </c>
      <c r="B328">
        <v>20</v>
      </c>
      <c r="C328">
        <v>2</v>
      </c>
      <c r="D328" s="2">
        <v>42218.091446759259</v>
      </c>
      <c r="E328" t="s">
        <v>41</v>
      </c>
      <c r="F328">
        <v>30</v>
      </c>
      <c r="G328" s="3">
        <v>24</v>
      </c>
      <c r="H328">
        <v>1565</v>
      </c>
      <c r="I328" t="s">
        <v>121</v>
      </c>
      <c r="J328">
        <v>4</v>
      </c>
      <c r="L328">
        <v>17</v>
      </c>
      <c r="M328">
        <v>25</v>
      </c>
    </row>
    <row r="329" spans="1:13" x14ac:dyDescent="0.25">
      <c r="A329">
        <v>328</v>
      </c>
      <c r="B329">
        <v>20</v>
      </c>
      <c r="C329">
        <v>11</v>
      </c>
      <c r="D329" s="2">
        <v>42219.018692129626</v>
      </c>
      <c r="E329" t="s">
        <v>41</v>
      </c>
      <c r="F329">
        <v>240</v>
      </c>
      <c r="G329" s="3">
        <v>25</v>
      </c>
      <c r="H329">
        <v>1478</v>
      </c>
      <c r="I329" t="s">
        <v>121</v>
      </c>
      <c r="J329">
        <v>11</v>
      </c>
      <c r="K329">
        <v>16</v>
      </c>
      <c r="L329">
        <v>10</v>
      </c>
      <c r="M329">
        <v>5</v>
      </c>
    </row>
    <row r="330" spans="1:13" x14ac:dyDescent="0.25">
      <c r="A330">
        <v>329</v>
      </c>
      <c r="B330">
        <v>20</v>
      </c>
      <c r="C330">
        <v>6</v>
      </c>
      <c r="D330" s="2">
        <v>42219.946446759262</v>
      </c>
      <c r="E330" t="s">
        <v>41</v>
      </c>
      <c r="F330">
        <v>90</v>
      </c>
      <c r="G330" s="3">
        <v>26</v>
      </c>
      <c r="H330">
        <v>1607</v>
      </c>
      <c r="I330" t="s">
        <v>121</v>
      </c>
      <c r="L330">
        <v>23</v>
      </c>
      <c r="M330">
        <v>24</v>
      </c>
    </row>
    <row r="331" spans="1:13" x14ac:dyDescent="0.25">
      <c r="A331">
        <v>330</v>
      </c>
      <c r="B331">
        <v>20</v>
      </c>
      <c r="C331">
        <v>21</v>
      </c>
      <c r="D331" s="2">
        <v>42218.872997685183</v>
      </c>
      <c r="E331" t="s">
        <v>41</v>
      </c>
      <c r="F331">
        <v>300</v>
      </c>
      <c r="G331" s="3">
        <v>27</v>
      </c>
      <c r="H331">
        <v>0</v>
      </c>
      <c r="I331" t="s">
        <v>120</v>
      </c>
    </row>
    <row r="332" spans="1:13" x14ac:dyDescent="0.25">
      <c r="A332">
        <v>331</v>
      </c>
      <c r="B332">
        <v>20</v>
      </c>
      <c r="C332">
        <v>29</v>
      </c>
      <c r="D332" s="2">
        <v>42220.698761574073</v>
      </c>
      <c r="E332" t="s">
        <v>41</v>
      </c>
      <c r="F332">
        <v>90</v>
      </c>
      <c r="G332" s="3">
        <v>28</v>
      </c>
      <c r="H332">
        <v>1494</v>
      </c>
      <c r="I332" t="s">
        <v>121</v>
      </c>
      <c r="J332">
        <v>9</v>
      </c>
      <c r="K332">
        <v>4</v>
      </c>
      <c r="L332">
        <v>12</v>
      </c>
      <c r="M332">
        <v>17</v>
      </c>
    </row>
    <row r="333" spans="1:13" x14ac:dyDescent="0.25">
      <c r="A333">
        <v>332</v>
      </c>
      <c r="B333">
        <v>20</v>
      </c>
      <c r="C333">
        <v>8</v>
      </c>
      <c r="D333" s="2">
        <v>42217.612314814818</v>
      </c>
      <c r="E333" t="s">
        <v>41</v>
      </c>
      <c r="F333">
        <v>150</v>
      </c>
      <c r="G333" s="3">
        <v>29</v>
      </c>
      <c r="H333">
        <v>1471</v>
      </c>
      <c r="I333" t="s">
        <v>121</v>
      </c>
      <c r="J333">
        <v>13</v>
      </c>
      <c r="K333">
        <v>12</v>
      </c>
      <c r="L333">
        <v>8</v>
      </c>
      <c r="M333">
        <v>9</v>
      </c>
    </row>
    <row r="334" spans="1:13" x14ac:dyDescent="0.25">
      <c r="A334">
        <v>333</v>
      </c>
      <c r="B334">
        <v>20</v>
      </c>
      <c r="C334">
        <v>7</v>
      </c>
      <c r="D334" s="2">
        <v>42222.567349537036</v>
      </c>
      <c r="E334" t="s">
        <v>41</v>
      </c>
      <c r="F334">
        <v>150</v>
      </c>
      <c r="G334" s="3">
        <v>30</v>
      </c>
      <c r="H334">
        <v>1605</v>
      </c>
      <c r="I334" t="s">
        <v>121</v>
      </c>
      <c r="K334">
        <v>1</v>
      </c>
      <c r="L334">
        <v>22</v>
      </c>
      <c r="M334">
        <v>20</v>
      </c>
    </row>
    <row r="335" spans="1:13" x14ac:dyDescent="0.25">
      <c r="A335">
        <v>334</v>
      </c>
      <c r="B335">
        <v>20</v>
      </c>
      <c r="C335">
        <v>15</v>
      </c>
      <c r="D335" s="2">
        <v>42219.759895833333</v>
      </c>
      <c r="E335" t="s">
        <v>41</v>
      </c>
      <c r="F335">
        <v>240</v>
      </c>
      <c r="G335" s="3">
        <v>31</v>
      </c>
      <c r="H335">
        <v>1581</v>
      </c>
      <c r="I335" t="s">
        <v>121</v>
      </c>
      <c r="J335">
        <v>2</v>
      </c>
      <c r="K335">
        <v>10</v>
      </c>
      <c r="L335">
        <v>19</v>
      </c>
      <c r="M335">
        <v>11</v>
      </c>
    </row>
    <row r="336" spans="1:13" x14ac:dyDescent="0.25">
      <c r="A336">
        <v>335</v>
      </c>
      <c r="B336">
        <v>21</v>
      </c>
      <c r="C336">
        <v>2</v>
      </c>
      <c r="D336" s="2">
        <v>42227.656574074077</v>
      </c>
      <c r="E336" t="s">
        <v>41</v>
      </c>
      <c r="F336">
        <v>180</v>
      </c>
      <c r="G336" s="3">
        <v>1</v>
      </c>
      <c r="H336">
        <v>1853</v>
      </c>
      <c r="I336" t="s">
        <v>121</v>
      </c>
      <c r="J336">
        <v>10</v>
      </c>
      <c r="K336">
        <v>13</v>
      </c>
      <c r="L336">
        <v>11</v>
      </c>
      <c r="M336">
        <v>8</v>
      </c>
    </row>
    <row r="337" spans="1:13" x14ac:dyDescent="0.25">
      <c r="A337">
        <v>336</v>
      </c>
      <c r="B337">
        <v>21</v>
      </c>
      <c r="C337">
        <v>16</v>
      </c>
      <c r="D337" s="2">
        <v>42226.861608796295</v>
      </c>
      <c r="E337" t="s">
        <v>41</v>
      </c>
      <c r="F337">
        <v>150</v>
      </c>
      <c r="G337" s="3">
        <v>2</v>
      </c>
      <c r="H337">
        <v>0</v>
      </c>
      <c r="I337" t="s">
        <v>120</v>
      </c>
    </row>
    <row r="338" spans="1:13" x14ac:dyDescent="0.25">
      <c r="A338">
        <v>337</v>
      </c>
      <c r="B338">
        <v>21</v>
      </c>
      <c r="C338">
        <v>27</v>
      </c>
      <c r="D338" s="2">
        <v>42223.158738425926</v>
      </c>
      <c r="E338" t="s">
        <v>41</v>
      </c>
      <c r="F338">
        <v>300</v>
      </c>
      <c r="G338" s="3">
        <v>3</v>
      </c>
      <c r="H338">
        <v>0</v>
      </c>
      <c r="I338" t="s">
        <v>120</v>
      </c>
    </row>
    <row r="339" spans="1:13" x14ac:dyDescent="0.25">
      <c r="A339">
        <v>338</v>
      </c>
      <c r="B339">
        <v>21</v>
      </c>
      <c r="C339">
        <v>30</v>
      </c>
      <c r="D339" s="2">
        <v>42229.11509259259</v>
      </c>
      <c r="E339" t="s">
        <v>41</v>
      </c>
      <c r="F339">
        <v>150</v>
      </c>
      <c r="G339" s="3">
        <v>4</v>
      </c>
      <c r="H339">
        <v>1755</v>
      </c>
      <c r="I339" t="s">
        <v>121</v>
      </c>
      <c r="J339">
        <v>16</v>
      </c>
      <c r="K339">
        <v>16</v>
      </c>
      <c r="L339">
        <v>5</v>
      </c>
      <c r="M339">
        <v>5</v>
      </c>
    </row>
    <row r="340" spans="1:13" x14ac:dyDescent="0.25">
      <c r="A340">
        <v>339</v>
      </c>
      <c r="B340">
        <v>21</v>
      </c>
      <c r="C340">
        <v>21</v>
      </c>
      <c r="D340" s="2">
        <v>42225.973576388889</v>
      </c>
      <c r="E340" t="s">
        <v>41</v>
      </c>
      <c r="F340">
        <v>120</v>
      </c>
      <c r="G340" s="3">
        <v>5</v>
      </c>
      <c r="H340">
        <v>1903</v>
      </c>
      <c r="I340" t="s">
        <v>121</v>
      </c>
      <c r="J340">
        <v>7</v>
      </c>
      <c r="K340">
        <v>9</v>
      </c>
      <c r="L340">
        <v>14</v>
      </c>
      <c r="M340">
        <v>12</v>
      </c>
    </row>
    <row r="341" spans="1:13" x14ac:dyDescent="0.25">
      <c r="A341">
        <v>340</v>
      </c>
      <c r="B341">
        <v>21</v>
      </c>
      <c r="C341">
        <v>26</v>
      </c>
      <c r="D341" s="2">
        <v>42227.623530092591</v>
      </c>
      <c r="E341" t="s">
        <v>41</v>
      </c>
      <c r="F341">
        <v>90</v>
      </c>
      <c r="G341" s="3">
        <v>6</v>
      </c>
      <c r="H341">
        <v>1793</v>
      </c>
      <c r="I341" t="s">
        <v>121</v>
      </c>
      <c r="J341">
        <v>12</v>
      </c>
      <c r="K341">
        <v>12</v>
      </c>
      <c r="L341">
        <v>9</v>
      </c>
      <c r="M341">
        <v>9</v>
      </c>
    </row>
    <row r="342" spans="1:13" x14ac:dyDescent="0.25">
      <c r="A342">
        <v>341</v>
      </c>
      <c r="B342">
        <v>21</v>
      </c>
      <c r="C342">
        <v>31</v>
      </c>
      <c r="D342" s="2">
        <v>42224.492245370369</v>
      </c>
      <c r="E342" t="s">
        <v>41</v>
      </c>
      <c r="F342">
        <v>60</v>
      </c>
      <c r="G342" s="3">
        <v>7</v>
      </c>
      <c r="H342">
        <v>1940</v>
      </c>
      <c r="I342" t="s">
        <v>121</v>
      </c>
      <c r="J342">
        <v>4</v>
      </c>
      <c r="K342">
        <v>5</v>
      </c>
      <c r="L342">
        <v>17</v>
      </c>
      <c r="M342">
        <v>16</v>
      </c>
    </row>
    <row r="343" spans="1:13" x14ac:dyDescent="0.25">
      <c r="A343">
        <v>342</v>
      </c>
      <c r="B343">
        <v>21</v>
      </c>
      <c r="C343">
        <v>20</v>
      </c>
      <c r="D343" s="2">
        <v>42226.100023148145</v>
      </c>
      <c r="E343" t="s">
        <v>41</v>
      </c>
      <c r="F343">
        <v>30</v>
      </c>
      <c r="G343" s="3">
        <v>8</v>
      </c>
      <c r="H343">
        <v>0</v>
      </c>
      <c r="I343" t="s">
        <v>120</v>
      </c>
    </row>
    <row r="344" spans="1:13" x14ac:dyDescent="0.25">
      <c r="A344">
        <v>343</v>
      </c>
      <c r="B344">
        <v>21</v>
      </c>
      <c r="C344">
        <v>19</v>
      </c>
      <c r="D344" s="2">
        <v>42225.083333333336</v>
      </c>
      <c r="E344" t="s">
        <v>41</v>
      </c>
      <c r="F344">
        <v>300</v>
      </c>
      <c r="G344" s="3">
        <v>9</v>
      </c>
      <c r="H344">
        <v>1873</v>
      </c>
      <c r="I344" t="s">
        <v>121</v>
      </c>
      <c r="J344">
        <v>9</v>
      </c>
      <c r="K344">
        <v>17</v>
      </c>
      <c r="L344">
        <v>12</v>
      </c>
      <c r="M344">
        <v>4</v>
      </c>
    </row>
    <row r="345" spans="1:13" x14ac:dyDescent="0.25">
      <c r="A345">
        <v>344</v>
      </c>
      <c r="B345">
        <v>21</v>
      </c>
      <c r="C345">
        <v>11</v>
      </c>
      <c r="D345" s="2">
        <v>42228.412222222221</v>
      </c>
      <c r="E345" t="s">
        <v>41</v>
      </c>
      <c r="F345">
        <v>300</v>
      </c>
      <c r="G345" s="3">
        <v>10</v>
      </c>
      <c r="H345">
        <v>1933</v>
      </c>
      <c r="I345" t="s">
        <v>121</v>
      </c>
      <c r="J345">
        <v>5</v>
      </c>
      <c r="K345">
        <v>14</v>
      </c>
      <c r="L345">
        <v>16</v>
      </c>
      <c r="M345">
        <v>7</v>
      </c>
    </row>
    <row r="346" spans="1:13" x14ac:dyDescent="0.25">
      <c r="A346">
        <v>345</v>
      </c>
      <c r="B346">
        <v>21</v>
      </c>
      <c r="C346">
        <v>1</v>
      </c>
      <c r="D346" s="2">
        <v>42224.937638888892</v>
      </c>
      <c r="E346" t="s">
        <v>41</v>
      </c>
      <c r="F346">
        <v>30</v>
      </c>
      <c r="G346" s="3">
        <v>11</v>
      </c>
      <c r="H346">
        <v>1735</v>
      </c>
      <c r="I346" t="s">
        <v>121</v>
      </c>
      <c r="J346">
        <v>18</v>
      </c>
      <c r="K346">
        <v>11</v>
      </c>
      <c r="L346">
        <v>3</v>
      </c>
      <c r="M346">
        <v>10</v>
      </c>
    </row>
    <row r="347" spans="1:13" x14ac:dyDescent="0.25">
      <c r="A347">
        <v>346</v>
      </c>
      <c r="B347">
        <v>21</v>
      </c>
      <c r="C347">
        <v>3</v>
      </c>
      <c r="D347" s="2">
        <v>42229.183379629627</v>
      </c>
      <c r="E347" t="s">
        <v>41</v>
      </c>
      <c r="F347">
        <v>0</v>
      </c>
      <c r="G347" s="3">
        <v>12</v>
      </c>
      <c r="H347">
        <v>1726</v>
      </c>
      <c r="I347" t="s">
        <v>121</v>
      </c>
      <c r="J347">
        <v>19</v>
      </c>
      <c r="K347">
        <v>10</v>
      </c>
      <c r="L347">
        <v>2</v>
      </c>
      <c r="M347">
        <v>11</v>
      </c>
    </row>
    <row r="348" spans="1:13" x14ac:dyDescent="0.25">
      <c r="A348">
        <v>347</v>
      </c>
      <c r="B348">
        <v>21</v>
      </c>
      <c r="C348">
        <v>5</v>
      </c>
      <c r="D348" s="2">
        <v>42226.751157407409</v>
      </c>
      <c r="E348" t="s">
        <v>41</v>
      </c>
      <c r="F348">
        <v>0</v>
      </c>
      <c r="G348" s="3">
        <v>13</v>
      </c>
      <c r="H348">
        <v>1786</v>
      </c>
      <c r="I348" t="s">
        <v>121</v>
      </c>
      <c r="J348">
        <v>13</v>
      </c>
      <c r="K348">
        <v>7</v>
      </c>
      <c r="L348">
        <v>8</v>
      </c>
      <c r="M348">
        <v>14</v>
      </c>
    </row>
    <row r="349" spans="1:13" x14ac:dyDescent="0.25">
      <c r="A349">
        <v>348</v>
      </c>
      <c r="B349">
        <v>21</v>
      </c>
      <c r="C349">
        <v>28</v>
      </c>
      <c r="D349" s="2">
        <v>42222.037685185183</v>
      </c>
      <c r="E349" t="s">
        <v>41</v>
      </c>
      <c r="F349">
        <v>60</v>
      </c>
      <c r="G349" s="3">
        <v>14</v>
      </c>
      <c r="H349">
        <v>1845</v>
      </c>
      <c r="I349" t="s">
        <v>121</v>
      </c>
      <c r="J349">
        <v>11</v>
      </c>
      <c r="K349">
        <v>8</v>
      </c>
      <c r="L349">
        <v>10</v>
      </c>
      <c r="M349">
        <v>13</v>
      </c>
    </row>
    <row r="350" spans="1:13" x14ac:dyDescent="0.25">
      <c r="A350">
        <v>349</v>
      </c>
      <c r="B350">
        <v>21</v>
      </c>
      <c r="C350">
        <v>7</v>
      </c>
      <c r="D350" s="2">
        <v>42227.575601851851</v>
      </c>
      <c r="E350" t="s">
        <v>41</v>
      </c>
      <c r="F350">
        <v>30</v>
      </c>
      <c r="G350" s="3">
        <v>15</v>
      </c>
      <c r="H350">
        <v>1904</v>
      </c>
      <c r="I350" t="s">
        <v>121</v>
      </c>
      <c r="J350">
        <v>6</v>
      </c>
      <c r="K350">
        <v>6</v>
      </c>
      <c r="L350">
        <v>15</v>
      </c>
      <c r="M350">
        <v>15</v>
      </c>
    </row>
    <row r="351" spans="1:13" x14ac:dyDescent="0.25">
      <c r="A351">
        <v>350</v>
      </c>
      <c r="B351">
        <v>21</v>
      </c>
      <c r="C351">
        <v>14</v>
      </c>
      <c r="D351" s="2">
        <v>42229.85119212963</v>
      </c>
      <c r="E351" t="s">
        <v>41</v>
      </c>
      <c r="F351">
        <v>0</v>
      </c>
      <c r="G351" s="3">
        <v>16</v>
      </c>
      <c r="H351">
        <v>1895</v>
      </c>
      <c r="I351" t="s">
        <v>121</v>
      </c>
      <c r="J351">
        <v>8</v>
      </c>
      <c r="K351">
        <v>3</v>
      </c>
      <c r="L351">
        <v>13</v>
      </c>
      <c r="M351">
        <v>18</v>
      </c>
    </row>
    <row r="352" spans="1:13" x14ac:dyDescent="0.25">
      <c r="A352">
        <v>351</v>
      </c>
      <c r="B352">
        <v>21</v>
      </c>
      <c r="C352">
        <v>18</v>
      </c>
      <c r="D352" s="2">
        <v>42226.138414351852</v>
      </c>
      <c r="E352" t="s">
        <v>41</v>
      </c>
      <c r="F352">
        <v>60</v>
      </c>
      <c r="G352" s="3">
        <v>17</v>
      </c>
      <c r="H352">
        <v>0</v>
      </c>
      <c r="I352" t="s">
        <v>117</v>
      </c>
    </row>
    <row r="353" spans="1:13" x14ac:dyDescent="0.25">
      <c r="A353">
        <v>352</v>
      </c>
      <c r="B353">
        <v>21</v>
      </c>
      <c r="C353">
        <v>29</v>
      </c>
      <c r="D353" s="2">
        <v>42222.96297453704</v>
      </c>
      <c r="E353" t="s">
        <v>41</v>
      </c>
      <c r="F353">
        <v>300</v>
      </c>
      <c r="G353" s="3">
        <v>18</v>
      </c>
      <c r="H353">
        <v>1785</v>
      </c>
      <c r="I353" t="s">
        <v>121</v>
      </c>
      <c r="J353">
        <v>14</v>
      </c>
      <c r="K353">
        <v>20</v>
      </c>
      <c r="L353">
        <v>7</v>
      </c>
      <c r="M353">
        <v>1</v>
      </c>
    </row>
    <row r="354" spans="1:13" x14ac:dyDescent="0.25">
      <c r="A354">
        <v>353</v>
      </c>
      <c r="B354">
        <v>21</v>
      </c>
      <c r="C354">
        <v>15</v>
      </c>
      <c r="D354" s="2">
        <v>42224.195115740738</v>
      </c>
      <c r="E354" t="s">
        <v>41</v>
      </c>
      <c r="F354">
        <v>270</v>
      </c>
      <c r="G354" s="3">
        <v>19</v>
      </c>
      <c r="H354">
        <v>1763</v>
      </c>
      <c r="I354" t="s">
        <v>121</v>
      </c>
      <c r="J354">
        <v>15</v>
      </c>
      <c r="K354">
        <v>19</v>
      </c>
      <c r="L354">
        <v>6</v>
      </c>
      <c r="M354">
        <v>2</v>
      </c>
    </row>
    <row r="355" spans="1:13" x14ac:dyDescent="0.25">
      <c r="A355">
        <v>354</v>
      </c>
      <c r="B355">
        <v>21</v>
      </c>
      <c r="C355">
        <v>4</v>
      </c>
      <c r="D355" s="2">
        <v>42226.135775462964</v>
      </c>
      <c r="E355" t="s">
        <v>41</v>
      </c>
      <c r="F355">
        <v>240</v>
      </c>
      <c r="G355" s="3">
        <v>20</v>
      </c>
      <c r="H355">
        <v>1741</v>
      </c>
      <c r="I355" t="s">
        <v>121</v>
      </c>
      <c r="J355">
        <v>17</v>
      </c>
      <c r="K355">
        <v>18</v>
      </c>
      <c r="L355">
        <v>4</v>
      </c>
      <c r="M355">
        <v>3</v>
      </c>
    </row>
    <row r="356" spans="1:13" x14ac:dyDescent="0.25">
      <c r="A356">
        <v>355</v>
      </c>
      <c r="B356">
        <v>21</v>
      </c>
      <c r="C356">
        <v>22</v>
      </c>
      <c r="D356" s="2">
        <v>42228.409583333334</v>
      </c>
      <c r="E356" t="s">
        <v>41</v>
      </c>
      <c r="F356">
        <v>90</v>
      </c>
      <c r="G356" s="3">
        <v>21</v>
      </c>
      <c r="H356">
        <v>1719</v>
      </c>
      <c r="I356" t="s">
        <v>121</v>
      </c>
      <c r="J356">
        <v>20</v>
      </c>
      <c r="K356">
        <v>15</v>
      </c>
      <c r="L356">
        <v>1</v>
      </c>
      <c r="M356">
        <v>6</v>
      </c>
    </row>
    <row r="357" spans="1:13" x14ac:dyDescent="0.25">
      <c r="A357">
        <v>356</v>
      </c>
      <c r="B357">
        <v>21</v>
      </c>
      <c r="C357">
        <v>10</v>
      </c>
      <c r="D357" s="2">
        <v>42223.630798611113</v>
      </c>
      <c r="E357" t="s">
        <v>41</v>
      </c>
      <c r="F357">
        <v>60</v>
      </c>
      <c r="G357" s="3">
        <v>22</v>
      </c>
      <c r="H357">
        <v>1954</v>
      </c>
      <c r="I357" t="s">
        <v>121</v>
      </c>
      <c r="J357">
        <v>3</v>
      </c>
      <c r="K357">
        <v>4</v>
      </c>
      <c r="L357">
        <v>18</v>
      </c>
      <c r="M357">
        <v>17</v>
      </c>
    </row>
    <row r="358" spans="1:13" x14ac:dyDescent="0.25">
      <c r="A358">
        <v>357</v>
      </c>
      <c r="B358">
        <v>22</v>
      </c>
      <c r="C358">
        <v>13</v>
      </c>
      <c r="D358" s="2">
        <v>42245.541168981479</v>
      </c>
      <c r="E358" t="s">
        <v>41</v>
      </c>
      <c r="F358">
        <v>30</v>
      </c>
      <c r="G358" s="3">
        <v>1</v>
      </c>
      <c r="H358">
        <v>1385</v>
      </c>
      <c r="I358" t="s">
        <v>121</v>
      </c>
      <c r="J358">
        <v>13</v>
      </c>
      <c r="K358">
        <v>6</v>
      </c>
      <c r="L358">
        <v>8</v>
      </c>
      <c r="M358">
        <v>15</v>
      </c>
    </row>
    <row r="359" spans="1:13" x14ac:dyDescent="0.25">
      <c r="A359">
        <v>358</v>
      </c>
      <c r="B359">
        <v>22</v>
      </c>
      <c r="C359">
        <v>8</v>
      </c>
      <c r="D359" s="2">
        <v>42251.482523148145</v>
      </c>
      <c r="E359" t="s">
        <v>41</v>
      </c>
      <c r="F359">
        <v>240</v>
      </c>
      <c r="G359" s="3">
        <v>2</v>
      </c>
      <c r="H359">
        <v>0</v>
      </c>
      <c r="I359" t="s">
        <v>120</v>
      </c>
    </row>
    <row r="360" spans="1:13" x14ac:dyDescent="0.25">
      <c r="A360">
        <v>359</v>
      </c>
      <c r="B360">
        <v>22</v>
      </c>
      <c r="C360">
        <v>30</v>
      </c>
      <c r="D360" s="2">
        <v>42233.196435185186</v>
      </c>
      <c r="E360" t="s">
        <v>41</v>
      </c>
      <c r="F360">
        <v>30</v>
      </c>
      <c r="G360" s="3">
        <v>3</v>
      </c>
      <c r="H360">
        <v>1405</v>
      </c>
      <c r="I360" t="s">
        <v>121</v>
      </c>
      <c r="J360">
        <v>8</v>
      </c>
      <c r="K360">
        <v>5</v>
      </c>
      <c r="L360">
        <v>13</v>
      </c>
      <c r="M360">
        <v>16</v>
      </c>
    </row>
    <row r="361" spans="1:13" x14ac:dyDescent="0.25">
      <c r="A361">
        <v>360</v>
      </c>
      <c r="B361">
        <v>22</v>
      </c>
      <c r="C361">
        <v>10</v>
      </c>
      <c r="D361" s="2">
        <v>42231.455868055556</v>
      </c>
      <c r="E361" t="s">
        <v>41</v>
      </c>
      <c r="F361">
        <v>180</v>
      </c>
      <c r="G361" s="3">
        <v>4</v>
      </c>
      <c r="H361">
        <v>1393</v>
      </c>
      <c r="I361" t="s">
        <v>121</v>
      </c>
      <c r="J361">
        <v>10</v>
      </c>
      <c r="K361">
        <v>13</v>
      </c>
      <c r="L361">
        <v>11</v>
      </c>
      <c r="M361">
        <v>8</v>
      </c>
    </row>
    <row r="362" spans="1:13" x14ac:dyDescent="0.25">
      <c r="A362">
        <v>361</v>
      </c>
      <c r="B362">
        <v>22</v>
      </c>
      <c r="C362">
        <v>14</v>
      </c>
      <c r="D362" s="2">
        <v>42229.70417824074</v>
      </c>
      <c r="E362" t="s">
        <v>41</v>
      </c>
      <c r="F362">
        <v>300</v>
      </c>
      <c r="G362" s="3">
        <v>5</v>
      </c>
      <c r="H362">
        <v>1433</v>
      </c>
      <c r="I362" t="s">
        <v>121</v>
      </c>
      <c r="J362">
        <v>5</v>
      </c>
      <c r="K362">
        <v>17</v>
      </c>
      <c r="L362">
        <v>16</v>
      </c>
      <c r="M362">
        <v>4</v>
      </c>
    </row>
    <row r="363" spans="1:13" x14ac:dyDescent="0.25">
      <c r="A363">
        <v>362</v>
      </c>
      <c r="B363">
        <v>22</v>
      </c>
      <c r="C363">
        <v>3</v>
      </c>
      <c r="D363" s="2">
        <v>42251.96429398148</v>
      </c>
      <c r="E363" t="s">
        <v>41</v>
      </c>
      <c r="F363">
        <v>120</v>
      </c>
      <c r="G363" s="3">
        <v>6</v>
      </c>
      <c r="H363">
        <v>1421</v>
      </c>
      <c r="I363" t="s">
        <v>121</v>
      </c>
      <c r="J363">
        <v>6</v>
      </c>
      <c r="K363">
        <v>9</v>
      </c>
      <c r="L363">
        <v>15</v>
      </c>
      <c r="M363">
        <v>12</v>
      </c>
    </row>
    <row r="364" spans="1:13" x14ac:dyDescent="0.25">
      <c r="A364">
        <v>363</v>
      </c>
      <c r="B364">
        <v>22</v>
      </c>
      <c r="C364">
        <v>29</v>
      </c>
      <c r="D364" s="2">
        <v>42249.223726851851</v>
      </c>
      <c r="E364" t="s">
        <v>41</v>
      </c>
      <c r="F364">
        <v>240</v>
      </c>
      <c r="G364" s="3">
        <v>7</v>
      </c>
      <c r="H364">
        <v>0</v>
      </c>
      <c r="I364" t="s">
        <v>120</v>
      </c>
    </row>
    <row r="365" spans="1:13" x14ac:dyDescent="0.25">
      <c r="A365">
        <v>364</v>
      </c>
      <c r="B365">
        <v>22</v>
      </c>
      <c r="C365">
        <v>27</v>
      </c>
      <c r="D365" s="2">
        <v>42244.769861111112</v>
      </c>
      <c r="E365" t="s">
        <v>41</v>
      </c>
      <c r="F365">
        <v>240</v>
      </c>
      <c r="G365" s="3">
        <v>8</v>
      </c>
      <c r="H365">
        <v>1390</v>
      </c>
      <c r="I365" t="s">
        <v>121</v>
      </c>
      <c r="J365">
        <v>11</v>
      </c>
      <c r="K365">
        <v>16</v>
      </c>
      <c r="L365">
        <v>10</v>
      </c>
      <c r="M365">
        <v>5</v>
      </c>
    </row>
    <row r="366" spans="1:13" x14ac:dyDescent="0.25">
      <c r="A366">
        <v>365</v>
      </c>
      <c r="B366">
        <v>22</v>
      </c>
      <c r="C366">
        <v>5</v>
      </c>
      <c r="D366" s="2">
        <v>42249.696921296294</v>
      </c>
      <c r="E366" t="s">
        <v>41</v>
      </c>
      <c r="F366">
        <v>0</v>
      </c>
      <c r="G366" s="3">
        <v>9</v>
      </c>
      <c r="H366">
        <v>1312</v>
      </c>
      <c r="I366" t="s">
        <v>121</v>
      </c>
      <c r="J366">
        <v>18</v>
      </c>
      <c r="K366">
        <v>7</v>
      </c>
      <c r="L366">
        <v>3</v>
      </c>
      <c r="M366">
        <v>14</v>
      </c>
    </row>
    <row r="367" spans="1:13" x14ac:dyDescent="0.25">
      <c r="A367">
        <v>366</v>
      </c>
      <c r="B367">
        <v>22</v>
      </c>
      <c r="C367">
        <v>20</v>
      </c>
      <c r="D367" s="2">
        <v>42248.624849537038</v>
      </c>
      <c r="E367" t="s">
        <v>41</v>
      </c>
      <c r="F367">
        <v>180</v>
      </c>
      <c r="G367" s="3">
        <v>10</v>
      </c>
      <c r="H367">
        <v>1467</v>
      </c>
      <c r="I367" t="s">
        <v>121</v>
      </c>
      <c r="J367">
        <v>4</v>
      </c>
      <c r="K367">
        <v>11</v>
      </c>
      <c r="L367">
        <v>17</v>
      </c>
      <c r="M367">
        <v>10</v>
      </c>
    </row>
    <row r="368" spans="1:13" x14ac:dyDescent="0.25">
      <c r="A368">
        <v>367</v>
      </c>
      <c r="B368">
        <v>22</v>
      </c>
      <c r="C368">
        <v>16</v>
      </c>
      <c r="D368" s="2">
        <v>42251.695983796293</v>
      </c>
      <c r="E368" t="s">
        <v>41</v>
      </c>
      <c r="F368">
        <v>90</v>
      </c>
      <c r="G368" s="3">
        <v>11</v>
      </c>
      <c r="H368">
        <v>1389</v>
      </c>
      <c r="I368" t="s">
        <v>121</v>
      </c>
      <c r="J368">
        <v>12</v>
      </c>
      <c r="K368">
        <v>10</v>
      </c>
      <c r="L368">
        <v>9</v>
      </c>
      <c r="M368">
        <v>11</v>
      </c>
    </row>
    <row r="369" spans="1:13" x14ac:dyDescent="0.25">
      <c r="A369">
        <v>368</v>
      </c>
      <c r="B369">
        <v>22</v>
      </c>
      <c r="C369">
        <v>22</v>
      </c>
      <c r="D369" s="2">
        <v>42232.623043981483</v>
      </c>
      <c r="E369" t="s">
        <v>41</v>
      </c>
      <c r="F369">
        <v>300</v>
      </c>
      <c r="G369" s="3">
        <v>12</v>
      </c>
      <c r="H369">
        <v>1312</v>
      </c>
      <c r="I369" t="s">
        <v>121</v>
      </c>
      <c r="J369">
        <v>18</v>
      </c>
      <c r="K369">
        <v>20</v>
      </c>
      <c r="L369">
        <v>3</v>
      </c>
      <c r="M369">
        <v>1</v>
      </c>
    </row>
    <row r="370" spans="1:13" x14ac:dyDescent="0.25">
      <c r="A370">
        <v>369</v>
      </c>
      <c r="B370">
        <v>22</v>
      </c>
      <c r="C370">
        <v>12</v>
      </c>
      <c r="D370" s="2">
        <v>42231.509317129632</v>
      </c>
      <c r="E370" t="s">
        <v>41</v>
      </c>
      <c r="F370">
        <v>150</v>
      </c>
      <c r="G370" s="3">
        <v>13</v>
      </c>
      <c r="H370">
        <v>0</v>
      </c>
      <c r="I370" t="s">
        <v>120</v>
      </c>
    </row>
    <row r="371" spans="1:13" x14ac:dyDescent="0.25">
      <c r="A371">
        <v>370</v>
      </c>
      <c r="B371">
        <v>22</v>
      </c>
      <c r="C371">
        <v>28</v>
      </c>
      <c r="D371" s="2">
        <v>42229.019074074073</v>
      </c>
      <c r="E371" t="s">
        <v>41</v>
      </c>
      <c r="F371">
        <v>180</v>
      </c>
      <c r="G371" s="3">
        <v>14</v>
      </c>
      <c r="H371">
        <v>1342</v>
      </c>
      <c r="I371" t="s">
        <v>121</v>
      </c>
      <c r="J371">
        <v>14</v>
      </c>
      <c r="K371">
        <v>14</v>
      </c>
      <c r="L371">
        <v>7</v>
      </c>
      <c r="M371">
        <v>7</v>
      </c>
    </row>
    <row r="372" spans="1:13" x14ac:dyDescent="0.25">
      <c r="A372">
        <v>371</v>
      </c>
      <c r="B372">
        <v>22</v>
      </c>
      <c r="C372">
        <v>11</v>
      </c>
      <c r="D372" s="2">
        <v>42243.223425925928</v>
      </c>
      <c r="E372" t="s">
        <v>41</v>
      </c>
      <c r="F372">
        <v>270</v>
      </c>
      <c r="G372" s="3">
        <v>15</v>
      </c>
      <c r="H372">
        <v>1321</v>
      </c>
      <c r="I372" t="s">
        <v>121</v>
      </c>
      <c r="J372">
        <v>16</v>
      </c>
      <c r="K372">
        <v>18</v>
      </c>
      <c r="L372">
        <v>5</v>
      </c>
      <c r="M372">
        <v>3</v>
      </c>
    </row>
    <row r="373" spans="1:13" x14ac:dyDescent="0.25">
      <c r="A373">
        <v>372</v>
      </c>
      <c r="B373">
        <v>22</v>
      </c>
      <c r="C373">
        <v>9</v>
      </c>
      <c r="D373" s="2">
        <v>42234.178460648145</v>
      </c>
      <c r="E373" t="s">
        <v>41</v>
      </c>
      <c r="F373">
        <v>270</v>
      </c>
      <c r="G373" s="3">
        <v>16</v>
      </c>
      <c r="H373">
        <v>1300</v>
      </c>
      <c r="I373" t="s">
        <v>121</v>
      </c>
      <c r="J373">
        <v>20</v>
      </c>
      <c r="K373">
        <v>19</v>
      </c>
      <c r="L373">
        <v>1</v>
      </c>
      <c r="M373">
        <v>2</v>
      </c>
    </row>
    <row r="374" spans="1:13" x14ac:dyDescent="0.25">
      <c r="A374">
        <v>373</v>
      </c>
      <c r="B374">
        <v>22</v>
      </c>
      <c r="C374">
        <v>24</v>
      </c>
      <c r="D374" s="2">
        <v>42248.091134259259</v>
      </c>
      <c r="E374" t="s">
        <v>41</v>
      </c>
      <c r="F374">
        <v>0</v>
      </c>
      <c r="G374" s="3">
        <v>17</v>
      </c>
      <c r="H374">
        <v>1420</v>
      </c>
      <c r="I374" t="s">
        <v>121</v>
      </c>
      <c r="J374">
        <v>7</v>
      </c>
      <c r="K374">
        <v>4</v>
      </c>
      <c r="L374">
        <v>14</v>
      </c>
      <c r="M374">
        <v>17</v>
      </c>
    </row>
    <row r="375" spans="1:13" x14ac:dyDescent="0.25">
      <c r="A375">
        <v>374</v>
      </c>
      <c r="B375">
        <v>22</v>
      </c>
      <c r="C375">
        <v>17</v>
      </c>
      <c r="D375" s="2">
        <v>42238.296180555553</v>
      </c>
      <c r="E375" t="s">
        <v>41</v>
      </c>
      <c r="F375">
        <v>90</v>
      </c>
      <c r="G375" s="3">
        <v>18</v>
      </c>
      <c r="H375">
        <v>1399</v>
      </c>
      <c r="I375" t="s">
        <v>121</v>
      </c>
      <c r="J375">
        <v>9</v>
      </c>
      <c r="K375">
        <v>8</v>
      </c>
      <c r="L375">
        <v>12</v>
      </c>
      <c r="M375">
        <v>13</v>
      </c>
    </row>
    <row r="376" spans="1:13" x14ac:dyDescent="0.25">
      <c r="A376">
        <v>375</v>
      </c>
      <c r="B376">
        <v>22</v>
      </c>
      <c r="C376">
        <v>1</v>
      </c>
      <c r="D376" s="2">
        <v>42235.251215277778</v>
      </c>
      <c r="E376" t="s">
        <v>41</v>
      </c>
      <c r="F376">
        <v>60</v>
      </c>
      <c r="G376" s="3">
        <v>19</v>
      </c>
      <c r="H376">
        <v>1326</v>
      </c>
      <c r="I376" t="s">
        <v>121</v>
      </c>
      <c r="J376">
        <v>15</v>
      </c>
      <c r="K376">
        <v>12</v>
      </c>
      <c r="L376">
        <v>6</v>
      </c>
      <c r="M376">
        <v>9</v>
      </c>
    </row>
    <row r="377" spans="1:13" x14ac:dyDescent="0.25">
      <c r="A377">
        <v>376</v>
      </c>
      <c r="B377">
        <v>22</v>
      </c>
      <c r="C377">
        <v>25</v>
      </c>
      <c r="D377" s="2">
        <v>42249.247233796297</v>
      </c>
      <c r="E377" t="s">
        <v>41</v>
      </c>
      <c r="F377">
        <v>150</v>
      </c>
      <c r="G377" s="3">
        <v>20</v>
      </c>
      <c r="H377">
        <v>1305</v>
      </c>
      <c r="I377" t="s">
        <v>121</v>
      </c>
      <c r="J377">
        <v>19</v>
      </c>
      <c r="K377">
        <v>15</v>
      </c>
      <c r="L377">
        <v>2</v>
      </c>
      <c r="M377">
        <v>6</v>
      </c>
    </row>
    <row r="378" spans="1:13" x14ac:dyDescent="0.25">
      <c r="A378">
        <v>377</v>
      </c>
      <c r="B378">
        <v>23</v>
      </c>
      <c r="C378">
        <v>15</v>
      </c>
      <c r="D378" s="2">
        <v>42253.437881944446</v>
      </c>
      <c r="E378" t="s">
        <v>41</v>
      </c>
      <c r="F378">
        <v>120</v>
      </c>
      <c r="G378" s="3">
        <v>1</v>
      </c>
      <c r="H378">
        <v>1225</v>
      </c>
      <c r="I378" t="s">
        <v>121</v>
      </c>
      <c r="J378">
        <v>20</v>
      </c>
      <c r="K378">
        <v>20</v>
      </c>
      <c r="L378">
        <v>1</v>
      </c>
      <c r="M378">
        <v>1</v>
      </c>
    </row>
    <row r="379" spans="1:13" x14ac:dyDescent="0.25">
      <c r="A379">
        <v>378</v>
      </c>
      <c r="B379">
        <v>23</v>
      </c>
      <c r="C379">
        <v>13</v>
      </c>
      <c r="D379" s="2">
        <v>42257.392928240741</v>
      </c>
      <c r="E379" t="s">
        <v>41</v>
      </c>
      <c r="F379">
        <v>90</v>
      </c>
      <c r="G379" s="3">
        <v>2</v>
      </c>
      <c r="H379">
        <v>1388</v>
      </c>
      <c r="I379" t="s">
        <v>121</v>
      </c>
      <c r="J379">
        <v>17</v>
      </c>
      <c r="K379">
        <v>18</v>
      </c>
      <c r="L379">
        <v>4</v>
      </c>
      <c r="M379">
        <v>3</v>
      </c>
    </row>
    <row r="380" spans="1:13" x14ac:dyDescent="0.25">
      <c r="A380">
        <v>379</v>
      </c>
      <c r="B380">
        <v>23</v>
      </c>
      <c r="C380">
        <v>6</v>
      </c>
      <c r="D380" s="2">
        <v>42254.597268518519</v>
      </c>
      <c r="E380" t="s">
        <v>41</v>
      </c>
      <c r="F380">
        <v>180</v>
      </c>
      <c r="G380" s="3">
        <v>3</v>
      </c>
      <c r="H380">
        <v>1319</v>
      </c>
      <c r="I380" t="s">
        <v>121</v>
      </c>
      <c r="J380">
        <v>19</v>
      </c>
      <c r="K380">
        <v>19</v>
      </c>
      <c r="L380">
        <v>2</v>
      </c>
      <c r="M380">
        <v>2</v>
      </c>
    </row>
    <row r="381" spans="1:13" x14ac:dyDescent="0.25">
      <c r="A381">
        <v>380</v>
      </c>
      <c r="B381">
        <v>23</v>
      </c>
      <c r="C381">
        <v>3</v>
      </c>
      <c r="D381" s="2">
        <v>42253.510648148149</v>
      </c>
      <c r="E381" t="s">
        <v>41</v>
      </c>
      <c r="F381">
        <v>270</v>
      </c>
      <c r="G381" s="3">
        <v>4</v>
      </c>
      <c r="H381">
        <v>0</v>
      </c>
      <c r="I381" t="s">
        <v>117</v>
      </c>
    </row>
    <row r="382" spans="1:13" x14ac:dyDescent="0.25">
      <c r="A382">
        <v>381</v>
      </c>
      <c r="B382">
        <v>23</v>
      </c>
      <c r="C382">
        <v>16</v>
      </c>
      <c r="D382" s="2">
        <v>42256.449803240743</v>
      </c>
      <c r="E382" t="s">
        <v>41</v>
      </c>
      <c r="F382">
        <v>30</v>
      </c>
      <c r="G382" s="3">
        <v>5</v>
      </c>
      <c r="H382">
        <v>1386</v>
      </c>
      <c r="I382" t="s">
        <v>121</v>
      </c>
      <c r="J382">
        <v>18</v>
      </c>
      <c r="K382">
        <v>17</v>
      </c>
      <c r="L382">
        <v>3</v>
      </c>
      <c r="M382">
        <v>4</v>
      </c>
    </row>
    <row r="383" spans="1:13" x14ac:dyDescent="0.25">
      <c r="A383">
        <v>382</v>
      </c>
      <c r="B383">
        <v>24</v>
      </c>
      <c r="C383">
        <v>26</v>
      </c>
      <c r="D383" s="2">
        <v>42262.335196759261</v>
      </c>
      <c r="E383" t="s">
        <v>41</v>
      </c>
      <c r="F383">
        <v>240</v>
      </c>
      <c r="G383" s="3">
        <v>1</v>
      </c>
      <c r="H383">
        <v>0</v>
      </c>
      <c r="I383" t="s">
        <v>120</v>
      </c>
    </row>
    <row r="384" spans="1:13" x14ac:dyDescent="0.25">
      <c r="A384">
        <v>383</v>
      </c>
      <c r="B384">
        <v>24</v>
      </c>
      <c r="C384">
        <v>4</v>
      </c>
      <c r="D384" s="2">
        <v>42265.040717592594</v>
      </c>
      <c r="E384" t="s">
        <v>41</v>
      </c>
      <c r="F384">
        <v>300</v>
      </c>
      <c r="G384" s="3">
        <v>2</v>
      </c>
      <c r="H384">
        <v>0</v>
      </c>
      <c r="I384" t="s">
        <v>117</v>
      </c>
    </row>
    <row r="385" spans="1:13" x14ac:dyDescent="0.25">
      <c r="A385">
        <v>384</v>
      </c>
      <c r="B385">
        <v>24</v>
      </c>
      <c r="C385">
        <v>2</v>
      </c>
      <c r="D385" s="2">
        <v>42262.919664351852</v>
      </c>
      <c r="E385" t="s">
        <v>41</v>
      </c>
      <c r="F385">
        <v>270</v>
      </c>
      <c r="G385" s="3">
        <v>3</v>
      </c>
      <c r="H385">
        <v>1275</v>
      </c>
      <c r="I385" t="s">
        <v>121</v>
      </c>
      <c r="J385">
        <v>18</v>
      </c>
      <c r="K385">
        <v>20</v>
      </c>
      <c r="L385">
        <v>3</v>
      </c>
      <c r="M385">
        <v>1</v>
      </c>
    </row>
    <row r="386" spans="1:13" x14ac:dyDescent="0.25">
      <c r="A386">
        <v>385</v>
      </c>
      <c r="B386">
        <v>24</v>
      </c>
      <c r="C386">
        <v>7</v>
      </c>
      <c r="D386" s="2">
        <v>42264.152685185189</v>
      </c>
      <c r="E386" t="s">
        <v>41</v>
      </c>
      <c r="F386">
        <v>240</v>
      </c>
      <c r="G386" s="3">
        <v>4</v>
      </c>
      <c r="H386">
        <v>1259</v>
      </c>
      <c r="I386" t="s">
        <v>121</v>
      </c>
      <c r="J386">
        <v>19</v>
      </c>
      <c r="K386">
        <v>19</v>
      </c>
      <c r="L386">
        <v>2</v>
      </c>
      <c r="M386">
        <v>2</v>
      </c>
    </row>
    <row r="387" spans="1:13" x14ac:dyDescent="0.25">
      <c r="A387">
        <v>386</v>
      </c>
      <c r="B387">
        <v>24</v>
      </c>
      <c r="C387">
        <v>12</v>
      </c>
      <c r="D387" s="2">
        <v>42266.092465277776</v>
      </c>
      <c r="E387" t="s">
        <v>41</v>
      </c>
      <c r="F387">
        <v>90</v>
      </c>
      <c r="G387" s="3">
        <v>5</v>
      </c>
      <c r="H387">
        <v>1243</v>
      </c>
      <c r="I387" t="s">
        <v>121</v>
      </c>
      <c r="J387">
        <v>20</v>
      </c>
      <c r="K387">
        <v>18</v>
      </c>
      <c r="L387">
        <v>1</v>
      </c>
      <c r="M387">
        <v>3</v>
      </c>
    </row>
    <row r="388" spans="1:13" x14ac:dyDescent="0.25">
      <c r="A388">
        <v>387</v>
      </c>
      <c r="B388">
        <v>24</v>
      </c>
      <c r="C388">
        <v>3</v>
      </c>
      <c r="D388" s="2">
        <v>42260.366446759261</v>
      </c>
      <c r="E388" t="s">
        <v>41</v>
      </c>
      <c r="F388">
        <v>60</v>
      </c>
      <c r="G388" s="3">
        <v>6</v>
      </c>
      <c r="H388">
        <v>0</v>
      </c>
      <c r="I388" t="s">
        <v>117</v>
      </c>
    </row>
    <row r="389" spans="1:13" x14ac:dyDescent="0.25">
      <c r="A389">
        <v>388</v>
      </c>
      <c r="B389">
        <v>24</v>
      </c>
      <c r="C389">
        <v>1</v>
      </c>
      <c r="D389" s="2">
        <v>42266.059421296297</v>
      </c>
      <c r="E389" t="s">
        <v>41</v>
      </c>
      <c r="F389">
        <v>90</v>
      </c>
      <c r="G389" s="3">
        <v>7</v>
      </c>
      <c r="H389">
        <v>1384</v>
      </c>
      <c r="I389" t="s">
        <v>121</v>
      </c>
      <c r="J389">
        <v>17</v>
      </c>
      <c r="K389">
        <v>17</v>
      </c>
      <c r="L389">
        <v>4</v>
      </c>
      <c r="M389">
        <v>4</v>
      </c>
    </row>
    <row r="390" spans="1:13" x14ac:dyDescent="0.25">
      <c r="A390">
        <v>389</v>
      </c>
      <c r="B390">
        <v>25</v>
      </c>
      <c r="C390">
        <v>27</v>
      </c>
      <c r="D390" s="2">
        <v>42267.623043981483</v>
      </c>
      <c r="E390" t="s">
        <v>41</v>
      </c>
      <c r="F390">
        <v>300</v>
      </c>
    </row>
    <row r="391" spans="1:13" x14ac:dyDescent="0.25">
      <c r="A391">
        <v>390</v>
      </c>
      <c r="B391">
        <v>25</v>
      </c>
      <c r="C391">
        <v>22</v>
      </c>
      <c r="D391" s="2">
        <v>42274.797974537039</v>
      </c>
      <c r="E391" t="s">
        <v>41</v>
      </c>
      <c r="F391">
        <v>150</v>
      </c>
    </row>
    <row r="392" spans="1:13" x14ac:dyDescent="0.25">
      <c r="A392">
        <v>391</v>
      </c>
      <c r="B392">
        <v>25</v>
      </c>
      <c r="C392">
        <v>19</v>
      </c>
      <c r="D392" s="2">
        <v>42268.439212962963</v>
      </c>
      <c r="E392" t="s">
        <v>41</v>
      </c>
      <c r="F392">
        <v>180</v>
      </c>
    </row>
    <row r="393" spans="1:13" x14ac:dyDescent="0.25">
      <c r="A393">
        <v>392</v>
      </c>
      <c r="B393">
        <v>25</v>
      </c>
      <c r="C393">
        <v>18</v>
      </c>
      <c r="D393" s="2">
        <v>42266.019074074073</v>
      </c>
      <c r="E393" t="s">
        <v>41</v>
      </c>
      <c r="F393">
        <v>180</v>
      </c>
    </row>
    <row r="394" spans="1:13" x14ac:dyDescent="0.25">
      <c r="A394">
        <v>393</v>
      </c>
      <c r="B394">
        <v>25</v>
      </c>
      <c r="C394">
        <v>1</v>
      </c>
      <c r="D394" s="2">
        <v>42267.721261574072</v>
      </c>
      <c r="E394" t="s">
        <v>41</v>
      </c>
      <c r="F394">
        <v>60</v>
      </c>
    </row>
    <row r="395" spans="1:13" x14ac:dyDescent="0.25">
      <c r="A395">
        <v>394</v>
      </c>
      <c r="B395">
        <v>25</v>
      </c>
      <c r="C395">
        <v>3</v>
      </c>
      <c r="D395" s="2">
        <v>42269.745613425926</v>
      </c>
      <c r="E395" t="s">
        <v>41</v>
      </c>
      <c r="F395">
        <v>60</v>
      </c>
    </row>
    <row r="396" spans="1:13" x14ac:dyDescent="0.25">
      <c r="A396">
        <v>395</v>
      </c>
      <c r="B396">
        <v>25</v>
      </c>
      <c r="C396">
        <v>10</v>
      </c>
      <c r="D396" s="2">
        <v>42267.216157407405</v>
      </c>
      <c r="E396" t="s">
        <v>41</v>
      </c>
      <c r="F396">
        <v>300</v>
      </c>
    </row>
    <row r="397" spans="1:13" x14ac:dyDescent="0.25">
      <c r="A397">
        <v>396</v>
      </c>
      <c r="B397">
        <v>25</v>
      </c>
      <c r="C397">
        <v>15</v>
      </c>
      <c r="D397" s="2">
        <v>42273.982002314813</v>
      </c>
      <c r="E397" t="s">
        <v>41</v>
      </c>
      <c r="F397">
        <v>270</v>
      </c>
    </row>
    <row r="398" spans="1:13" x14ac:dyDescent="0.25">
      <c r="A398">
        <v>397</v>
      </c>
      <c r="B398">
        <v>25</v>
      </c>
      <c r="C398">
        <v>20</v>
      </c>
      <c r="D398" s="2">
        <v>42267.176446759258</v>
      </c>
      <c r="E398" t="s">
        <v>41</v>
      </c>
      <c r="F398">
        <v>150</v>
      </c>
    </row>
    <row r="399" spans="1:13" x14ac:dyDescent="0.25">
      <c r="A399">
        <v>398</v>
      </c>
      <c r="B399">
        <v>25</v>
      </c>
      <c r="C399">
        <v>5</v>
      </c>
      <c r="D399" s="2">
        <v>42267.725219907406</v>
      </c>
      <c r="E399" t="s">
        <v>41</v>
      </c>
      <c r="F399">
        <v>30</v>
      </c>
    </row>
    <row r="400" spans="1:13" x14ac:dyDescent="0.25">
      <c r="A400">
        <v>399</v>
      </c>
      <c r="B400">
        <v>25</v>
      </c>
      <c r="C400">
        <v>7</v>
      </c>
      <c r="D400" s="2">
        <v>42270.297500000001</v>
      </c>
      <c r="E400" t="s">
        <v>41</v>
      </c>
      <c r="F400">
        <v>180</v>
      </c>
    </row>
    <row r="401" spans="1:6" x14ac:dyDescent="0.25">
      <c r="A401">
        <v>400</v>
      </c>
      <c r="B401">
        <v>25</v>
      </c>
      <c r="C401">
        <v>21</v>
      </c>
      <c r="D401" s="2">
        <v>42268.251215277778</v>
      </c>
      <c r="E401" t="s">
        <v>41</v>
      </c>
      <c r="F401">
        <v>60</v>
      </c>
    </row>
    <row r="402" spans="1:6" x14ac:dyDescent="0.25">
      <c r="A402">
        <v>401</v>
      </c>
      <c r="B402">
        <v>25</v>
      </c>
      <c r="C402">
        <v>23</v>
      </c>
      <c r="D402" s="2">
        <v>42272.926296296297</v>
      </c>
      <c r="E402" t="s">
        <v>41</v>
      </c>
      <c r="F402">
        <v>60</v>
      </c>
    </row>
    <row r="403" spans="1:6" x14ac:dyDescent="0.25">
      <c r="A403">
        <v>402</v>
      </c>
      <c r="B403">
        <v>25</v>
      </c>
      <c r="C403">
        <v>4</v>
      </c>
      <c r="D403" s="2">
        <v>42274.02103009259</v>
      </c>
      <c r="E403" t="s">
        <v>41</v>
      </c>
      <c r="F403">
        <v>60</v>
      </c>
    </row>
    <row r="404" spans="1:6" x14ac:dyDescent="0.25">
      <c r="A404">
        <v>403</v>
      </c>
      <c r="B404">
        <v>25</v>
      </c>
      <c r="C404">
        <v>11</v>
      </c>
      <c r="D404" s="2">
        <v>42267.475590277776</v>
      </c>
      <c r="E404" t="s">
        <v>41</v>
      </c>
      <c r="F404">
        <v>60</v>
      </c>
    </row>
    <row r="405" spans="1:6" x14ac:dyDescent="0.25">
      <c r="A405">
        <v>404</v>
      </c>
      <c r="B405">
        <v>25</v>
      </c>
      <c r="C405">
        <v>2</v>
      </c>
      <c r="D405" s="2">
        <v>42269.519212962965</v>
      </c>
      <c r="E405" t="s">
        <v>41</v>
      </c>
      <c r="F405">
        <v>240</v>
      </c>
    </row>
    <row r="406" spans="1:6" x14ac:dyDescent="0.25">
      <c r="A406">
        <v>405</v>
      </c>
      <c r="B406">
        <v>25</v>
      </c>
      <c r="C406">
        <v>9</v>
      </c>
      <c r="D406" s="2">
        <v>42266.436550925922</v>
      </c>
      <c r="E406" t="s">
        <v>41</v>
      </c>
      <c r="F406">
        <v>270</v>
      </c>
    </row>
    <row r="407" spans="1:6" x14ac:dyDescent="0.25">
      <c r="A407">
        <v>406</v>
      </c>
      <c r="B407">
        <v>25</v>
      </c>
      <c r="C407">
        <v>25</v>
      </c>
      <c r="D407" s="2">
        <v>42272.317337962966</v>
      </c>
      <c r="E407" t="s">
        <v>41</v>
      </c>
      <c r="F407">
        <v>90</v>
      </c>
    </row>
    <row r="408" spans="1:6" x14ac:dyDescent="0.25">
      <c r="A408">
        <v>407</v>
      </c>
      <c r="B408">
        <v>26</v>
      </c>
      <c r="C408">
        <v>23</v>
      </c>
      <c r="D408" s="2">
        <v>42342.279629629629</v>
      </c>
      <c r="E408" t="s">
        <v>41</v>
      </c>
      <c r="F408">
        <v>60</v>
      </c>
    </row>
    <row r="409" spans="1:6" x14ac:dyDescent="0.25">
      <c r="A409">
        <v>408</v>
      </c>
      <c r="B409">
        <v>27</v>
      </c>
      <c r="C409">
        <v>27</v>
      </c>
      <c r="D409" s="2">
        <v>42365.48265046296</v>
      </c>
      <c r="E409" t="s">
        <v>41</v>
      </c>
      <c r="F409">
        <v>30</v>
      </c>
    </row>
    <row r="410" spans="1:6" x14ac:dyDescent="0.25">
      <c r="A410">
        <v>409</v>
      </c>
      <c r="B410">
        <v>27</v>
      </c>
      <c r="C410">
        <v>18</v>
      </c>
      <c r="D410" s="2">
        <v>42364.880636574075</v>
      </c>
      <c r="E410" t="s">
        <v>41</v>
      </c>
      <c r="F410">
        <v>120</v>
      </c>
    </row>
    <row r="411" spans="1:6" x14ac:dyDescent="0.25">
      <c r="A411">
        <v>410</v>
      </c>
      <c r="B411">
        <v>27</v>
      </c>
      <c r="C411">
        <v>7</v>
      </c>
      <c r="D411" s="2">
        <v>42364.558240740742</v>
      </c>
      <c r="E411" t="s">
        <v>41</v>
      </c>
      <c r="F411">
        <v>30</v>
      </c>
    </row>
    <row r="412" spans="1:6" x14ac:dyDescent="0.25">
      <c r="A412">
        <v>411</v>
      </c>
      <c r="B412">
        <v>27</v>
      </c>
      <c r="C412">
        <v>29</v>
      </c>
      <c r="D412" s="2">
        <v>42364.72388888889</v>
      </c>
      <c r="E412" t="s">
        <v>41</v>
      </c>
      <c r="F412">
        <v>270</v>
      </c>
    </row>
    <row r="413" spans="1:6" x14ac:dyDescent="0.25">
      <c r="A413">
        <v>412</v>
      </c>
      <c r="B413">
        <v>27</v>
      </c>
      <c r="C413">
        <v>17</v>
      </c>
      <c r="D413" s="2">
        <v>42364.446273148147</v>
      </c>
      <c r="E413" t="s">
        <v>41</v>
      </c>
      <c r="F413">
        <v>90</v>
      </c>
    </row>
    <row r="414" spans="1:6" x14ac:dyDescent="0.25">
      <c r="A414">
        <v>413</v>
      </c>
      <c r="B414">
        <v>27</v>
      </c>
      <c r="C414">
        <v>3</v>
      </c>
      <c r="D414" s="2">
        <v>42365.04415509259</v>
      </c>
      <c r="E414" t="s">
        <v>41</v>
      </c>
      <c r="F414">
        <v>240</v>
      </c>
    </row>
    <row r="415" spans="1:6" x14ac:dyDescent="0.25">
      <c r="A415">
        <v>414</v>
      </c>
      <c r="B415">
        <v>27</v>
      </c>
      <c r="C415">
        <v>12</v>
      </c>
      <c r="D415" s="2">
        <v>42365.537847222222</v>
      </c>
      <c r="E415" t="s">
        <v>41</v>
      </c>
      <c r="F415">
        <v>300</v>
      </c>
    </row>
    <row r="416" spans="1:6" x14ac:dyDescent="0.25">
      <c r="A416">
        <v>415</v>
      </c>
      <c r="B416">
        <v>27</v>
      </c>
      <c r="C416">
        <v>14</v>
      </c>
      <c r="D416" s="2">
        <v>42364.805231481485</v>
      </c>
      <c r="E416" t="s">
        <v>41</v>
      </c>
      <c r="F416">
        <v>120</v>
      </c>
    </row>
    <row r="417" spans="1:6" x14ac:dyDescent="0.25">
      <c r="A417">
        <v>416</v>
      </c>
      <c r="B417">
        <v>27</v>
      </c>
      <c r="C417">
        <v>4</v>
      </c>
      <c r="D417" s="2">
        <v>42365.453865740739</v>
      </c>
      <c r="E417" t="s">
        <v>41</v>
      </c>
      <c r="F417">
        <v>240</v>
      </c>
    </row>
    <row r="418" spans="1:6" x14ac:dyDescent="0.25">
      <c r="A418">
        <v>417</v>
      </c>
      <c r="B418">
        <v>27</v>
      </c>
      <c r="C418">
        <v>22</v>
      </c>
      <c r="D418" s="2">
        <v>42365.793310185189</v>
      </c>
      <c r="E418" t="s">
        <v>41</v>
      </c>
      <c r="F418">
        <v>180</v>
      </c>
    </row>
    <row r="419" spans="1:6" x14ac:dyDescent="0.25">
      <c r="A419">
        <v>418</v>
      </c>
      <c r="B419">
        <v>27</v>
      </c>
      <c r="C419">
        <v>13</v>
      </c>
      <c r="D419" s="2">
        <v>42365.833657407406</v>
      </c>
      <c r="E419" t="s">
        <v>41</v>
      </c>
      <c r="F419">
        <v>90</v>
      </c>
    </row>
    <row r="420" spans="1:6" x14ac:dyDescent="0.25">
      <c r="A420">
        <v>419</v>
      </c>
      <c r="B420">
        <v>27</v>
      </c>
      <c r="C420">
        <v>21</v>
      </c>
      <c r="D420" s="2">
        <v>42365.983136574076</v>
      </c>
      <c r="E420" t="s">
        <v>41</v>
      </c>
      <c r="F420">
        <v>0</v>
      </c>
    </row>
    <row r="421" spans="1:6" x14ac:dyDescent="0.25">
      <c r="A421">
        <v>420</v>
      </c>
      <c r="B421">
        <v>27</v>
      </c>
      <c r="C421">
        <v>8</v>
      </c>
      <c r="D421" s="2">
        <v>42364.069131944445</v>
      </c>
      <c r="E421" t="s">
        <v>41</v>
      </c>
      <c r="F421">
        <v>150</v>
      </c>
    </row>
    <row r="422" spans="1:6" x14ac:dyDescent="0.25">
      <c r="A422">
        <v>421</v>
      </c>
      <c r="B422">
        <v>27</v>
      </c>
      <c r="C422">
        <v>31</v>
      </c>
      <c r="D422" s="2">
        <v>42365.63921296296</v>
      </c>
      <c r="E422" t="s">
        <v>41</v>
      </c>
      <c r="F422">
        <v>180</v>
      </c>
    </row>
    <row r="423" spans="1:6" x14ac:dyDescent="0.25">
      <c r="A423">
        <v>422</v>
      </c>
      <c r="B423">
        <v>27</v>
      </c>
      <c r="C423">
        <v>20</v>
      </c>
      <c r="D423" s="2">
        <v>42365.435231481482</v>
      </c>
      <c r="E423" t="s">
        <v>41</v>
      </c>
      <c r="F423">
        <v>150</v>
      </c>
    </row>
    <row r="424" spans="1:6" x14ac:dyDescent="0.25">
      <c r="A424">
        <v>423</v>
      </c>
      <c r="B424">
        <v>27</v>
      </c>
      <c r="C424">
        <v>26</v>
      </c>
      <c r="D424" s="2">
        <v>42365.455185185187</v>
      </c>
      <c r="E424" t="s">
        <v>41</v>
      </c>
      <c r="F424">
        <v>0</v>
      </c>
    </row>
    <row r="425" spans="1:6" x14ac:dyDescent="0.25">
      <c r="A425">
        <v>424</v>
      </c>
      <c r="B425">
        <v>28</v>
      </c>
      <c r="C425">
        <v>2</v>
      </c>
      <c r="D425" s="2">
        <v>42366.71329861111</v>
      </c>
      <c r="E425" t="s">
        <v>41</v>
      </c>
      <c r="F425">
        <v>90</v>
      </c>
    </row>
    <row r="426" spans="1:6" x14ac:dyDescent="0.25">
      <c r="A426">
        <v>425</v>
      </c>
      <c r="B426">
        <v>28</v>
      </c>
      <c r="C426">
        <v>17</v>
      </c>
      <c r="D426" s="2">
        <v>42366.457835648151</v>
      </c>
      <c r="E426" t="s">
        <v>41</v>
      </c>
      <c r="F426">
        <v>300</v>
      </c>
    </row>
    <row r="427" spans="1:6" x14ac:dyDescent="0.25">
      <c r="A427">
        <v>426</v>
      </c>
      <c r="B427">
        <v>28</v>
      </c>
      <c r="C427">
        <v>24</v>
      </c>
      <c r="D427" s="2">
        <v>42365.398159722223</v>
      </c>
      <c r="E427" t="s">
        <v>41</v>
      </c>
      <c r="F427">
        <v>300</v>
      </c>
    </row>
    <row r="428" spans="1:6" x14ac:dyDescent="0.25">
      <c r="A428">
        <v>427</v>
      </c>
      <c r="B428">
        <v>28</v>
      </c>
      <c r="C428">
        <v>1</v>
      </c>
      <c r="D428" s="2">
        <v>42366.911076388889</v>
      </c>
      <c r="E428" t="s">
        <v>41</v>
      </c>
      <c r="F428">
        <v>180</v>
      </c>
    </row>
    <row r="429" spans="1:6" x14ac:dyDescent="0.25">
      <c r="A429">
        <v>428</v>
      </c>
      <c r="B429">
        <v>28</v>
      </c>
      <c r="C429">
        <v>22</v>
      </c>
      <c r="D429" s="2">
        <v>42366.677604166667</v>
      </c>
      <c r="E429" t="s">
        <v>41</v>
      </c>
      <c r="F429">
        <v>120</v>
      </c>
    </row>
    <row r="430" spans="1:6" x14ac:dyDescent="0.25">
      <c r="A430">
        <v>429</v>
      </c>
      <c r="B430">
        <v>28</v>
      </c>
      <c r="C430">
        <v>27</v>
      </c>
      <c r="D430" s="2">
        <v>42366.872048611112</v>
      </c>
      <c r="E430" t="s">
        <v>41</v>
      </c>
      <c r="F430">
        <v>60</v>
      </c>
    </row>
    <row r="431" spans="1:6" x14ac:dyDescent="0.25">
      <c r="A431">
        <v>430</v>
      </c>
      <c r="B431">
        <v>28</v>
      </c>
      <c r="C431">
        <v>15</v>
      </c>
      <c r="D431" s="2">
        <v>42366.378472222219</v>
      </c>
      <c r="E431" t="s">
        <v>41</v>
      </c>
      <c r="F431">
        <v>240</v>
      </c>
    </row>
    <row r="432" spans="1:6" x14ac:dyDescent="0.25">
      <c r="A432">
        <v>431</v>
      </c>
      <c r="B432">
        <v>28</v>
      </c>
      <c r="C432">
        <v>13</v>
      </c>
      <c r="D432" s="2">
        <v>42365.991712962961</v>
      </c>
      <c r="E432" t="s">
        <v>41</v>
      </c>
      <c r="F432">
        <v>60</v>
      </c>
    </row>
    <row r="433" spans="1:6" x14ac:dyDescent="0.25">
      <c r="A433">
        <v>432</v>
      </c>
      <c r="B433">
        <v>28</v>
      </c>
      <c r="C433">
        <v>16</v>
      </c>
      <c r="D433" s="2">
        <v>42366.945428240739</v>
      </c>
      <c r="E433" t="s">
        <v>41</v>
      </c>
      <c r="F433">
        <v>300</v>
      </c>
    </row>
    <row r="434" spans="1:6" x14ac:dyDescent="0.25">
      <c r="A434">
        <v>433</v>
      </c>
      <c r="B434">
        <v>28</v>
      </c>
      <c r="C434">
        <v>5</v>
      </c>
      <c r="D434" s="2">
        <v>42365.662870370368</v>
      </c>
      <c r="E434" t="s">
        <v>41</v>
      </c>
      <c r="F434">
        <v>270</v>
      </c>
    </row>
    <row r="435" spans="1:6" x14ac:dyDescent="0.25">
      <c r="A435">
        <v>434</v>
      </c>
      <c r="B435">
        <v>28</v>
      </c>
      <c r="C435">
        <v>20</v>
      </c>
      <c r="D435" s="2">
        <v>42366.67496527778</v>
      </c>
      <c r="E435" t="s">
        <v>41</v>
      </c>
      <c r="F435">
        <v>300</v>
      </c>
    </row>
    <row r="436" spans="1:6" x14ac:dyDescent="0.25">
      <c r="A436">
        <v>435</v>
      </c>
      <c r="B436">
        <v>28</v>
      </c>
      <c r="C436">
        <v>9</v>
      </c>
      <c r="D436" s="2">
        <v>42366.128831018519</v>
      </c>
      <c r="E436" t="s">
        <v>41</v>
      </c>
      <c r="F436">
        <v>300</v>
      </c>
    </row>
    <row r="437" spans="1:6" x14ac:dyDescent="0.25">
      <c r="A437">
        <v>436</v>
      </c>
      <c r="B437">
        <v>29</v>
      </c>
      <c r="C437">
        <v>14</v>
      </c>
      <c r="D437" s="2">
        <v>42366.576874999999</v>
      </c>
      <c r="E437" t="s">
        <v>41</v>
      </c>
      <c r="F437">
        <v>120</v>
      </c>
    </row>
    <row r="438" spans="1:6" x14ac:dyDescent="0.25">
      <c r="A438">
        <v>437</v>
      </c>
      <c r="B438">
        <v>29</v>
      </c>
      <c r="C438">
        <v>30</v>
      </c>
      <c r="D438" s="2">
        <v>42366.103495370371</v>
      </c>
      <c r="E438" t="s">
        <v>41</v>
      </c>
      <c r="F438">
        <v>30</v>
      </c>
    </row>
    <row r="439" spans="1:6" x14ac:dyDescent="0.25">
      <c r="A439">
        <v>438</v>
      </c>
      <c r="B439">
        <v>29</v>
      </c>
      <c r="C439">
        <v>13</v>
      </c>
      <c r="D439" s="2">
        <v>42366.624479166669</v>
      </c>
      <c r="E439" t="s">
        <v>41</v>
      </c>
      <c r="F439">
        <v>0</v>
      </c>
    </row>
    <row r="440" spans="1:6" x14ac:dyDescent="0.25">
      <c r="A440">
        <v>439</v>
      </c>
      <c r="B440">
        <v>29</v>
      </c>
      <c r="C440">
        <v>16</v>
      </c>
      <c r="D440" s="2">
        <v>42367.279629629629</v>
      </c>
      <c r="E440" t="s">
        <v>41</v>
      </c>
      <c r="F440">
        <v>60</v>
      </c>
    </row>
    <row r="441" spans="1:6" x14ac:dyDescent="0.25">
      <c r="A441">
        <v>440</v>
      </c>
      <c r="B441">
        <v>29</v>
      </c>
      <c r="C441">
        <v>28</v>
      </c>
      <c r="D441" s="2">
        <v>42367.204861111109</v>
      </c>
      <c r="E441" t="s">
        <v>41</v>
      </c>
      <c r="F441">
        <v>150</v>
      </c>
    </row>
    <row r="442" spans="1:6" x14ac:dyDescent="0.25">
      <c r="A442">
        <v>441</v>
      </c>
      <c r="B442">
        <v>29</v>
      </c>
      <c r="C442">
        <v>18</v>
      </c>
      <c r="D442" s="2">
        <v>42366.212812500002</v>
      </c>
      <c r="E442" t="s">
        <v>41</v>
      </c>
      <c r="F442">
        <v>120</v>
      </c>
    </row>
    <row r="443" spans="1:6" x14ac:dyDescent="0.25">
      <c r="A443">
        <v>442</v>
      </c>
      <c r="B443">
        <v>29</v>
      </c>
      <c r="C443">
        <v>1</v>
      </c>
      <c r="D443" s="2">
        <v>42367.280949074076</v>
      </c>
      <c r="E443" t="s">
        <v>41</v>
      </c>
      <c r="F443">
        <v>150</v>
      </c>
    </row>
    <row r="444" spans="1:6" x14ac:dyDescent="0.25">
      <c r="A444">
        <v>443</v>
      </c>
      <c r="B444">
        <v>29</v>
      </c>
      <c r="C444">
        <v>22</v>
      </c>
      <c r="D444" s="2">
        <v>42367.056076388886</v>
      </c>
      <c r="E444" t="s">
        <v>41</v>
      </c>
      <c r="F444">
        <v>150</v>
      </c>
    </row>
    <row r="445" spans="1:6" x14ac:dyDescent="0.25">
      <c r="A445">
        <v>444</v>
      </c>
      <c r="B445">
        <v>30</v>
      </c>
      <c r="C445">
        <v>22</v>
      </c>
      <c r="D445" s="2">
        <v>42367.446273148147</v>
      </c>
      <c r="E445" t="s">
        <v>41</v>
      </c>
      <c r="F445">
        <v>90</v>
      </c>
    </row>
    <row r="446" spans="1:6" x14ac:dyDescent="0.25">
      <c r="A446">
        <v>445</v>
      </c>
      <c r="B446">
        <v>30</v>
      </c>
      <c r="C446">
        <v>24</v>
      </c>
      <c r="D446" s="2">
        <v>42368.04415509259</v>
      </c>
      <c r="E446" t="s">
        <v>41</v>
      </c>
      <c r="F446">
        <v>240</v>
      </c>
    </row>
    <row r="447" spans="1:6" x14ac:dyDescent="0.25">
      <c r="A447">
        <v>446</v>
      </c>
      <c r="B447">
        <v>30</v>
      </c>
      <c r="C447">
        <v>16</v>
      </c>
      <c r="D447" s="2">
        <v>42368.537847222222</v>
      </c>
      <c r="E447" t="s">
        <v>41</v>
      </c>
      <c r="F447">
        <v>300</v>
      </c>
    </row>
    <row r="448" spans="1:6" x14ac:dyDescent="0.25">
      <c r="A448">
        <v>447</v>
      </c>
      <c r="B448">
        <v>30</v>
      </c>
      <c r="C448">
        <v>5</v>
      </c>
      <c r="D448" s="2">
        <v>42367.805231481485</v>
      </c>
      <c r="E448" t="s">
        <v>41</v>
      </c>
      <c r="F448">
        <v>120</v>
      </c>
    </row>
    <row r="449" spans="1:6" x14ac:dyDescent="0.25">
      <c r="A449">
        <v>448</v>
      </c>
      <c r="B449">
        <v>30</v>
      </c>
      <c r="C449">
        <v>31</v>
      </c>
      <c r="D449" s="2">
        <v>42368.453865740739</v>
      </c>
      <c r="E449" t="s">
        <v>41</v>
      </c>
      <c r="F449">
        <v>240</v>
      </c>
    </row>
    <row r="450" spans="1:6" x14ac:dyDescent="0.25">
      <c r="A450">
        <v>449</v>
      </c>
      <c r="B450">
        <v>30</v>
      </c>
      <c r="C450">
        <v>11</v>
      </c>
      <c r="D450" s="2">
        <v>42368.793310185189</v>
      </c>
      <c r="E450" t="s">
        <v>41</v>
      </c>
      <c r="F450">
        <v>180</v>
      </c>
    </row>
    <row r="451" spans="1:6" x14ac:dyDescent="0.25">
      <c r="A451">
        <v>450</v>
      </c>
      <c r="B451">
        <v>30</v>
      </c>
      <c r="C451">
        <v>19</v>
      </c>
      <c r="D451" s="2">
        <v>42368.833657407406</v>
      </c>
      <c r="E451" t="s">
        <v>41</v>
      </c>
      <c r="F451">
        <v>90</v>
      </c>
    </row>
    <row r="452" spans="1:6" x14ac:dyDescent="0.25">
      <c r="A452">
        <v>451</v>
      </c>
      <c r="B452">
        <v>30</v>
      </c>
      <c r="C452">
        <v>15</v>
      </c>
      <c r="D452" s="2">
        <v>42368.983136574076</v>
      </c>
      <c r="E452" t="s">
        <v>41</v>
      </c>
      <c r="F452">
        <v>0</v>
      </c>
    </row>
    <row r="453" spans="1:6" x14ac:dyDescent="0.25">
      <c r="A453">
        <v>452</v>
      </c>
      <c r="B453">
        <v>30</v>
      </c>
      <c r="C453">
        <v>7</v>
      </c>
      <c r="D453" s="2">
        <v>42367.069131944445</v>
      </c>
      <c r="E453" t="s">
        <v>41</v>
      </c>
      <c r="F453">
        <v>150</v>
      </c>
    </row>
    <row r="454" spans="1:6" x14ac:dyDescent="0.25">
      <c r="A454">
        <v>453</v>
      </c>
      <c r="B454">
        <v>30</v>
      </c>
      <c r="C454">
        <v>17</v>
      </c>
      <c r="D454" s="2">
        <v>42368.63921296296</v>
      </c>
      <c r="E454" t="s">
        <v>41</v>
      </c>
      <c r="F454">
        <v>180</v>
      </c>
    </row>
    <row r="455" spans="1:6" x14ac:dyDescent="0.25">
      <c r="A455">
        <v>454</v>
      </c>
      <c r="B455">
        <v>30</v>
      </c>
      <c r="C455">
        <v>1</v>
      </c>
      <c r="D455" s="2">
        <v>42368.435231481482</v>
      </c>
      <c r="E455" t="s">
        <v>41</v>
      </c>
      <c r="F455">
        <v>150</v>
      </c>
    </row>
    <row r="456" spans="1:6" x14ac:dyDescent="0.25">
      <c r="A456">
        <v>455</v>
      </c>
      <c r="B456">
        <v>30</v>
      </c>
      <c r="C456">
        <v>26</v>
      </c>
      <c r="D456" s="2">
        <v>42368.455185185187</v>
      </c>
      <c r="E456" t="s">
        <v>41</v>
      </c>
      <c r="F456">
        <v>0</v>
      </c>
    </row>
    <row r="457" spans="1:6" x14ac:dyDescent="0.25">
      <c r="A457">
        <v>456</v>
      </c>
      <c r="B457">
        <v>30</v>
      </c>
      <c r="C457">
        <v>21</v>
      </c>
      <c r="D457" s="2">
        <v>42367.686006944445</v>
      </c>
      <c r="E457" t="s">
        <v>41</v>
      </c>
      <c r="F457">
        <v>180</v>
      </c>
    </row>
    <row r="458" spans="1:6" x14ac:dyDescent="0.25">
      <c r="A458">
        <v>457</v>
      </c>
      <c r="B458">
        <v>30</v>
      </c>
      <c r="C458">
        <v>2</v>
      </c>
      <c r="D458" s="2">
        <v>42367.790011574078</v>
      </c>
      <c r="E458" t="s">
        <v>41</v>
      </c>
      <c r="F458">
        <v>180</v>
      </c>
    </row>
    <row r="459" spans="1:6" x14ac:dyDescent="0.25">
      <c r="A459">
        <v>458</v>
      </c>
      <c r="B459">
        <v>30</v>
      </c>
      <c r="C459">
        <v>12</v>
      </c>
      <c r="D459" s="2">
        <v>42367.412546296298</v>
      </c>
      <c r="E459" t="s">
        <v>41</v>
      </c>
      <c r="F459">
        <v>90</v>
      </c>
    </row>
    <row r="460" spans="1:6" x14ac:dyDescent="0.25">
      <c r="A460">
        <v>459</v>
      </c>
      <c r="B460">
        <v>30</v>
      </c>
      <c r="C460">
        <v>18</v>
      </c>
      <c r="D460" s="2">
        <v>42368.24255787037</v>
      </c>
      <c r="E460" t="s">
        <v>41</v>
      </c>
      <c r="F460">
        <v>180</v>
      </c>
    </row>
    <row r="461" spans="1:6" x14ac:dyDescent="0.25">
      <c r="A461">
        <v>460</v>
      </c>
      <c r="B461">
        <v>30</v>
      </c>
      <c r="C461">
        <v>6</v>
      </c>
      <c r="D461" s="2">
        <v>42368.649629629632</v>
      </c>
      <c r="E461" t="s">
        <v>41</v>
      </c>
      <c r="F461">
        <v>270</v>
      </c>
    </row>
    <row r="462" spans="1:6" x14ac:dyDescent="0.25">
      <c r="A462">
        <v>461</v>
      </c>
      <c r="B462">
        <v>30</v>
      </c>
      <c r="C462">
        <v>29</v>
      </c>
      <c r="D462" s="2">
        <v>42368.245208333334</v>
      </c>
      <c r="E462" t="s">
        <v>41</v>
      </c>
      <c r="F462">
        <v>60</v>
      </c>
    </row>
    <row r="463" spans="1:6" x14ac:dyDescent="0.25">
      <c r="A463">
        <v>462</v>
      </c>
      <c r="B463">
        <v>30</v>
      </c>
      <c r="C463">
        <v>20</v>
      </c>
      <c r="D463" s="2">
        <v>42367.362291666665</v>
      </c>
      <c r="E463" t="s">
        <v>41</v>
      </c>
      <c r="F463">
        <v>30</v>
      </c>
    </row>
    <row r="464" spans="1:6" x14ac:dyDescent="0.25">
      <c r="A464">
        <v>463</v>
      </c>
      <c r="B464">
        <v>30</v>
      </c>
      <c r="C464">
        <v>8</v>
      </c>
      <c r="D464" s="2">
        <v>42367.324594907404</v>
      </c>
      <c r="E464" t="s">
        <v>41</v>
      </c>
      <c r="F464">
        <v>300</v>
      </c>
    </row>
    <row r="465" spans="1:6" x14ac:dyDescent="0.25">
      <c r="A465">
        <v>464</v>
      </c>
      <c r="B465">
        <v>30</v>
      </c>
      <c r="C465">
        <v>9</v>
      </c>
      <c r="D465" s="2">
        <v>42367.876666666663</v>
      </c>
      <c r="E465" t="s">
        <v>41</v>
      </c>
      <c r="F465">
        <v>150</v>
      </c>
    </row>
    <row r="466" spans="1:6" x14ac:dyDescent="0.25">
      <c r="A466">
        <v>465</v>
      </c>
      <c r="B466">
        <v>30</v>
      </c>
      <c r="C466">
        <v>27</v>
      </c>
      <c r="D466" s="2">
        <v>42367.995057870372</v>
      </c>
      <c r="E466" t="s">
        <v>41</v>
      </c>
      <c r="F466">
        <v>270</v>
      </c>
    </row>
    <row r="467" spans="1:6" x14ac:dyDescent="0.25">
      <c r="A467">
        <v>466</v>
      </c>
      <c r="B467">
        <v>30</v>
      </c>
      <c r="C467">
        <v>28</v>
      </c>
      <c r="D467" s="2">
        <v>42368.646990740737</v>
      </c>
      <c r="E467" t="s">
        <v>41</v>
      </c>
      <c r="F467">
        <v>60</v>
      </c>
    </row>
    <row r="468" spans="1:6" x14ac:dyDescent="0.25">
      <c r="A468">
        <v>467</v>
      </c>
      <c r="B468">
        <v>30</v>
      </c>
      <c r="C468">
        <v>10</v>
      </c>
      <c r="D468" s="2">
        <v>42368.491562499999</v>
      </c>
      <c r="E468" t="s">
        <v>41</v>
      </c>
      <c r="F468">
        <v>300</v>
      </c>
    </row>
    <row r="469" spans="1:6" x14ac:dyDescent="0.25">
      <c r="A469">
        <v>468</v>
      </c>
      <c r="B469">
        <v>30</v>
      </c>
      <c r="C469">
        <v>25</v>
      </c>
      <c r="D469" s="2">
        <v>42368.241238425922</v>
      </c>
      <c r="E469" t="s">
        <v>41</v>
      </c>
      <c r="F469">
        <v>0</v>
      </c>
    </row>
    <row r="470" spans="1:6" x14ac:dyDescent="0.25">
      <c r="A470">
        <v>469</v>
      </c>
      <c r="B470">
        <v>30</v>
      </c>
      <c r="C470">
        <v>30</v>
      </c>
      <c r="D470" s="2">
        <v>42367.757627314815</v>
      </c>
      <c r="E470" t="s">
        <v>41</v>
      </c>
      <c r="F470">
        <v>270</v>
      </c>
    </row>
  </sheetData>
  <sortState ref="A2:M391">
    <sortCondition ref="B2:B391"/>
    <sortCondition ref="J2:J391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events</vt:lpstr>
      <vt:lpstr>courses</vt:lpstr>
      <vt:lpstr>handicaps</vt:lpstr>
      <vt:lpstr>users</vt:lpstr>
      <vt:lpstr>officials</vt:lpstr>
      <vt:lpstr>entries</vt:lpstr>
      <vt:lpstr>courses</vt:lpstr>
      <vt:lpstr>events</vt:lpstr>
      <vt:lpstr>handicaps</vt:lpstr>
      <vt:lpstr>users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2015-10-06T07:08:58Z</dcterms:modified>
</cp:coreProperties>
</file>